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drawings/drawing9.xml" ContentType="application/vnd.openxmlformats-officedocument.drawing+xml"/>
  <Override PartName="/xl/tables/table9.xml" ContentType="application/vnd.openxmlformats-officedocument.spreadsheetml.table+xml"/>
  <Override PartName="/xl/drawings/drawing10.xml" ContentType="application/vnd.openxmlformats-officedocument.drawing+xml"/>
  <Override PartName="/xl/tables/table10.xml" ContentType="application/vnd.openxmlformats-officedocument.spreadsheetml.table+xml"/>
  <Override PartName="/xl/drawings/drawing11.xml" ContentType="application/vnd.openxmlformats-officedocument.drawing+xml"/>
  <Override PartName="/xl/tables/table11.xml" ContentType="application/vnd.openxmlformats-officedocument.spreadsheetml.table+xml"/>
  <Override PartName="/xl/drawings/drawing12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DASHBOARD BY ACCOUNTS EXPERT\"/>
    </mc:Choice>
  </mc:AlternateContent>
  <bookViews>
    <workbookView xWindow="0" yWindow="0" windowWidth="20490" windowHeight="8940" activeTab="9"/>
  </bookViews>
  <sheets>
    <sheet name="Rough" sheetId="3" r:id="rId1"/>
    <sheet name="Sheet1" sheetId="1" r:id="rId2"/>
    <sheet name="Jan" sheetId="2" r:id="rId3"/>
    <sheet name="Feb" sheetId="4" r:id="rId4"/>
    <sheet name="Mar" sheetId="5" r:id="rId5"/>
    <sheet name="Apr" sheetId="6" r:id="rId6"/>
    <sheet name="May" sheetId="7" r:id="rId7"/>
    <sheet name="Jun" sheetId="8" r:id="rId8"/>
    <sheet name="Jul" sheetId="9" r:id="rId9"/>
    <sheet name="Aug" sheetId="10" r:id="rId10"/>
    <sheet name="Sep" sheetId="11" r:id="rId11"/>
    <sheet name="Oct" sheetId="12" r:id="rId12"/>
    <sheet name="Nov" sheetId="13" r:id="rId13"/>
    <sheet name="Dec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9" i="14" l="1"/>
  <c r="AW10" i="14"/>
  <c r="AW11" i="14"/>
  <c r="AW12" i="14"/>
  <c r="AW13" i="14"/>
  <c r="AW14" i="14"/>
  <c r="AW15" i="14"/>
  <c r="AW16" i="14"/>
  <c r="AW17" i="14"/>
  <c r="AW18" i="14"/>
  <c r="AW19" i="14"/>
  <c r="AW20" i="14"/>
  <c r="AW21" i="14"/>
  <c r="AW22" i="14"/>
  <c r="AW23" i="14"/>
  <c r="AW24" i="14"/>
  <c r="AW25" i="14"/>
  <c r="AW26" i="14"/>
  <c r="AW27" i="14"/>
  <c r="AW28" i="14"/>
  <c r="AV9" i="14"/>
  <c r="AV10" i="14"/>
  <c r="AV11" i="14"/>
  <c r="AV12" i="14"/>
  <c r="AV13" i="14"/>
  <c r="AV14" i="14"/>
  <c r="AV15" i="14"/>
  <c r="AV16" i="14"/>
  <c r="AV17" i="14"/>
  <c r="AV18" i="14"/>
  <c r="AV19" i="14"/>
  <c r="AV20" i="14"/>
  <c r="AV21" i="14"/>
  <c r="AV22" i="14"/>
  <c r="AV23" i="14"/>
  <c r="AV24" i="14"/>
  <c r="AV25" i="14"/>
  <c r="AV26" i="14"/>
  <c r="AV27" i="14"/>
  <c r="AV28" i="14"/>
  <c r="AW9" i="13"/>
  <c r="AW10" i="13"/>
  <c r="AW11" i="13"/>
  <c r="AW12" i="13"/>
  <c r="AW13" i="13"/>
  <c r="AW14" i="13"/>
  <c r="AW15" i="13"/>
  <c r="AW16" i="13"/>
  <c r="AW17" i="13"/>
  <c r="AW18" i="13"/>
  <c r="AW19" i="13"/>
  <c r="AW20" i="13"/>
  <c r="AW21" i="13"/>
  <c r="AW22" i="13"/>
  <c r="AW23" i="13"/>
  <c r="AW24" i="13"/>
  <c r="AW25" i="13"/>
  <c r="AW26" i="13"/>
  <c r="AW27" i="13"/>
  <c r="AW28" i="13"/>
  <c r="AV9" i="13"/>
  <c r="AV10" i="13"/>
  <c r="AV11" i="13"/>
  <c r="AV12" i="13"/>
  <c r="AV13" i="13"/>
  <c r="AV14" i="13"/>
  <c r="AV15" i="13"/>
  <c r="AV16" i="13"/>
  <c r="AV17" i="13"/>
  <c r="AV18" i="13"/>
  <c r="AV19" i="13"/>
  <c r="AV20" i="13"/>
  <c r="AV21" i="13"/>
  <c r="AV22" i="13"/>
  <c r="AV23" i="13"/>
  <c r="AV24" i="13"/>
  <c r="AV25" i="13"/>
  <c r="AV26" i="13"/>
  <c r="AV27" i="13"/>
  <c r="AV28" i="13"/>
  <c r="AW9" i="12"/>
  <c r="AW10" i="12"/>
  <c r="AW11" i="12"/>
  <c r="AW12" i="12"/>
  <c r="AW13" i="12"/>
  <c r="AW14" i="12"/>
  <c r="AW15" i="12"/>
  <c r="AW16" i="12"/>
  <c r="AW17" i="12"/>
  <c r="AW18" i="12"/>
  <c r="AW19" i="12"/>
  <c r="AW20" i="12"/>
  <c r="AW21" i="12"/>
  <c r="AW22" i="12"/>
  <c r="AW23" i="12"/>
  <c r="AW24" i="12"/>
  <c r="AW25" i="12"/>
  <c r="AW26" i="12"/>
  <c r="AW27" i="12"/>
  <c r="AW28" i="12"/>
  <c r="AV9" i="12"/>
  <c r="AV10" i="12"/>
  <c r="AV11" i="12"/>
  <c r="AV12" i="12"/>
  <c r="AV13" i="12"/>
  <c r="AV14" i="12"/>
  <c r="AV15" i="12"/>
  <c r="AV16" i="12"/>
  <c r="AV17" i="12"/>
  <c r="AV18" i="12"/>
  <c r="AV19" i="12"/>
  <c r="AV20" i="12"/>
  <c r="AV21" i="12"/>
  <c r="AV22" i="12"/>
  <c r="AV23" i="12"/>
  <c r="AV24" i="12"/>
  <c r="AV25" i="12"/>
  <c r="AV26" i="12"/>
  <c r="AV27" i="12"/>
  <c r="AV28" i="12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W9" i="10" l="1"/>
  <c r="AW10" i="10"/>
  <c r="AW11" i="10"/>
  <c r="AW12" i="10"/>
  <c r="AW13" i="10"/>
  <c r="AW14" i="10"/>
  <c r="AW15" i="10"/>
  <c r="AW16" i="10"/>
  <c r="AW17" i="10"/>
  <c r="AW18" i="10"/>
  <c r="AW19" i="10"/>
  <c r="AW20" i="10"/>
  <c r="AW21" i="10"/>
  <c r="AW22" i="10"/>
  <c r="AW23" i="10"/>
  <c r="AW24" i="10"/>
  <c r="AW25" i="10"/>
  <c r="AW26" i="10"/>
  <c r="AW27" i="10"/>
  <c r="AW28" i="10"/>
  <c r="AV9" i="10"/>
  <c r="AV10" i="10"/>
  <c r="AV11" i="10"/>
  <c r="AV12" i="10"/>
  <c r="AV13" i="10"/>
  <c r="AV14" i="10"/>
  <c r="AV15" i="10"/>
  <c r="AV16" i="10"/>
  <c r="AV17" i="10"/>
  <c r="AV18" i="10"/>
  <c r="AV19" i="10"/>
  <c r="AV20" i="10"/>
  <c r="AV21" i="10"/>
  <c r="AV22" i="10"/>
  <c r="AV23" i="10"/>
  <c r="AV24" i="10"/>
  <c r="AV25" i="10"/>
  <c r="AV26" i="10"/>
  <c r="AV27" i="10"/>
  <c r="AV28" i="10"/>
  <c r="AW9" i="9"/>
  <c r="AW10" i="9"/>
  <c r="AW11" i="9"/>
  <c r="AW12" i="9"/>
  <c r="AW13" i="9"/>
  <c r="AW14" i="9"/>
  <c r="AW15" i="9"/>
  <c r="AW16" i="9"/>
  <c r="AW17" i="9"/>
  <c r="AW18" i="9"/>
  <c r="AW19" i="9"/>
  <c r="AW20" i="9"/>
  <c r="AW21" i="9"/>
  <c r="AW22" i="9"/>
  <c r="AW23" i="9"/>
  <c r="AW24" i="9"/>
  <c r="AW25" i="9"/>
  <c r="AW26" i="9"/>
  <c r="AW27" i="9"/>
  <c r="AW28" i="9"/>
  <c r="AV9" i="9"/>
  <c r="AV10" i="9"/>
  <c r="AV11" i="9"/>
  <c r="AV12" i="9"/>
  <c r="AV13" i="9"/>
  <c r="AV14" i="9"/>
  <c r="AV15" i="9"/>
  <c r="AV16" i="9"/>
  <c r="AV17" i="9"/>
  <c r="AV18" i="9"/>
  <c r="AV19" i="9"/>
  <c r="AV20" i="9"/>
  <c r="AV21" i="9"/>
  <c r="AV22" i="9"/>
  <c r="AV23" i="9"/>
  <c r="AV24" i="9"/>
  <c r="AV25" i="9"/>
  <c r="AV26" i="9"/>
  <c r="AV27" i="9"/>
  <c r="AV28" i="9"/>
  <c r="AW9" i="8"/>
  <c r="AW10" i="8"/>
  <c r="AW11" i="8"/>
  <c r="AW12" i="8"/>
  <c r="AW13" i="8"/>
  <c r="AW14" i="8"/>
  <c r="AW15" i="8"/>
  <c r="AW16" i="8"/>
  <c r="AW17" i="8"/>
  <c r="AW18" i="8"/>
  <c r="AW19" i="8"/>
  <c r="AW20" i="8"/>
  <c r="AW21" i="8"/>
  <c r="AW22" i="8"/>
  <c r="AW23" i="8"/>
  <c r="AW24" i="8"/>
  <c r="AW25" i="8"/>
  <c r="AW26" i="8"/>
  <c r="AW27" i="8"/>
  <c r="AW28" i="8"/>
  <c r="AV9" i="8"/>
  <c r="AV10" i="8"/>
  <c r="AV11" i="8"/>
  <c r="AV12" i="8"/>
  <c r="AV13" i="8"/>
  <c r="AV14" i="8"/>
  <c r="AV15" i="8"/>
  <c r="AV16" i="8"/>
  <c r="AV17" i="8"/>
  <c r="AV18" i="8"/>
  <c r="AV19" i="8"/>
  <c r="AV20" i="8"/>
  <c r="AV21" i="8"/>
  <c r="AV22" i="8"/>
  <c r="AV23" i="8"/>
  <c r="AV24" i="8"/>
  <c r="AV25" i="8"/>
  <c r="AV26" i="8"/>
  <c r="AV27" i="8"/>
  <c r="AV28" i="8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W9" i="6"/>
  <c r="AW10" i="6"/>
  <c r="AW11" i="6"/>
  <c r="AW12" i="6"/>
  <c r="AW13" i="6"/>
  <c r="AW14" i="6"/>
  <c r="AW15" i="6"/>
  <c r="AW16" i="6"/>
  <c r="AW17" i="6"/>
  <c r="AW18" i="6"/>
  <c r="AW19" i="6"/>
  <c r="AW20" i="6"/>
  <c r="AW21" i="6"/>
  <c r="AW22" i="6"/>
  <c r="AW23" i="6"/>
  <c r="AW24" i="6"/>
  <c r="AW25" i="6"/>
  <c r="AW26" i="6"/>
  <c r="AW27" i="6"/>
  <c r="AW28" i="6"/>
  <c r="AV9" i="6"/>
  <c r="AV10" i="6"/>
  <c r="AV11" i="6"/>
  <c r="AV12" i="6"/>
  <c r="AV13" i="6"/>
  <c r="AV14" i="6"/>
  <c r="AV15" i="6"/>
  <c r="AV16" i="6"/>
  <c r="AV17" i="6"/>
  <c r="AV18" i="6"/>
  <c r="AV19" i="6"/>
  <c r="AV20" i="6"/>
  <c r="AV21" i="6"/>
  <c r="AV22" i="6"/>
  <c r="AV23" i="6"/>
  <c r="AV24" i="6"/>
  <c r="AV25" i="6"/>
  <c r="AV26" i="6"/>
  <c r="AV27" i="6"/>
  <c r="AV28" i="6"/>
  <c r="AW9" i="5"/>
  <c r="AW10" i="5"/>
  <c r="AW11" i="5"/>
  <c r="AW12" i="5"/>
  <c r="AW13" i="5"/>
  <c r="AW14" i="5"/>
  <c r="AW15" i="5"/>
  <c r="AW16" i="5"/>
  <c r="AW17" i="5"/>
  <c r="AW18" i="5"/>
  <c r="AW19" i="5"/>
  <c r="AW20" i="5"/>
  <c r="AW21" i="5"/>
  <c r="AW22" i="5"/>
  <c r="AW23" i="5"/>
  <c r="AW24" i="5"/>
  <c r="AW25" i="5"/>
  <c r="AW26" i="5"/>
  <c r="AW27" i="5"/>
  <c r="AW28" i="5"/>
  <c r="AV9" i="5"/>
  <c r="AV10" i="5"/>
  <c r="AV11" i="5"/>
  <c r="AV12" i="5"/>
  <c r="AV13" i="5"/>
  <c r="AV14" i="5"/>
  <c r="AV15" i="5"/>
  <c r="AV16" i="5"/>
  <c r="AV17" i="5"/>
  <c r="AV18" i="5"/>
  <c r="AV19" i="5"/>
  <c r="AV20" i="5"/>
  <c r="AV21" i="5"/>
  <c r="AV22" i="5"/>
  <c r="AV23" i="5"/>
  <c r="AV24" i="5"/>
  <c r="AV25" i="5"/>
  <c r="AV26" i="5"/>
  <c r="AV27" i="5"/>
  <c r="AV28" i="5"/>
  <c r="L10" i="5"/>
  <c r="S10" i="5"/>
  <c r="Z10" i="5"/>
  <c r="AG10" i="5"/>
  <c r="AN10" i="5"/>
  <c r="L11" i="5"/>
  <c r="S11" i="5"/>
  <c r="Z11" i="5"/>
  <c r="AG11" i="5"/>
  <c r="AN11" i="5"/>
  <c r="L12" i="5"/>
  <c r="S12" i="5"/>
  <c r="Z12" i="5"/>
  <c r="AG12" i="5"/>
  <c r="AN12" i="5"/>
  <c r="L13" i="5"/>
  <c r="S13" i="5"/>
  <c r="Z13" i="5"/>
  <c r="AG13" i="5"/>
  <c r="AN13" i="5"/>
  <c r="L14" i="5"/>
  <c r="S14" i="5"/>
  <c r="Z14" i="5"/>
  <c r="AG14" i="5"/>
  <c r="AN14" i="5"/>
  <c r="L15" i="5"/>
  <c r="S15" i="5"/>
  <c r="Z15" i="5"/>
  <c r="AG15" i="5"/>
  <c r="AN15" i="5"/>
  <c r="L16" i="5"/>
  <c r="S16" i="5"/>
  <c r="Z16" i="5"/>
  <c r="AG16" i="5"/>
  <c r="AN16" i="5"/>
  <c r="L17" i="5"/>
  <c r="S17" i="5"/>
  <c r="Z17" i="5"/>
  <c r="AG17" i="5"/>
  <c r="AN17" i="5"/>
  <c r="L18" i="5"/>
  <c r="S18" i="5"/>
  <c r="Z18" i="5"/>
  <c r="AG18" i="5"/>
  <c r="AN18" i="5"/>
  <c r="L19" i="5"/>
  <c r="S19" i="5"/>
  <c r="Z19" i="5"/>
  <c r="AG19" i="5"/>
  <c r="AN19" i="5"/>
  <c r="L20" i="5"/>
  <c r="S20" i="5"/>
  <c r="Z20" i="5"/>
  <c r="AG20" i="5"/>
  <c r="AN20" i="5"/>
  <c r="L21" i="5"/>
  <c r="S21" i="5"/>
  <c r="Z21" i="5"/>
  <c r="AG21" i="5"/>
  <c r="AN21" i="5"/>
  <c r="L22" i="5"/>
  <c r="S22" i="5"/>
  <c r="Z22" i="5"/>
  <c r="AG22" i="5"/>
  <c r="AN22" i="5"/>
  <c r="L23" i="5"/>
  <c r="S23" i="5"/>
  <c r="Z23" i="5"/>
  <c r="AG23" i="5"/>
  <c r="AN23" i="5"/>
  <c r="L24" i="5"/>
  <c r="S24" i="5"/>
  <c r="Z24" i="5"/>
  <c r="AG24" i="5"/>
  <c r="AN24" i="5"/>
  <c r="L25" i="5"/>
  <c r="S25" i="5"/>
  <c r="Z25" i="5"/>
  <c r="AG25" i="5"/>
  <c r="AN25" i="5"/>
  <c r="L26" i="5"/>
  <c r="S26" i="5"/>
  <c r="Z26" i="5"/>
  <c r="AG26" i="5"/>
  <c r="AN26" i="5"/>
  <c r="L27" i="5"/>
  <c r="S27" i="5"/>
  <c r="Z27" i="5"/>
  <c r="AG27" i="5"/>
  <c r="AN27" i="5"/>
  <c r="L28" i="5"/>
  <c r="S28" i="5"/>
  <c r="Z28" i="5"/>
  <c r="AG28" i="5"/>
  <c r="AN28" i="5"/>
  <c r="L9" i="5"/>
  <c r="S9" i="5"/>
  <c r="Z9" i="5"/>
  <c r="AG9" i="5"/>
  <c r="AN9" i="5"/>
  <c r="O9" i="2"/>
  <c r="O10" i="2"/>
  <c r="J9" i="5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V9" i="4"/>
  <c r="AV10" i="4"/>
  <c r="AV11" i="4"/>
  <c r="AV12" i="4"/>
  <c r="AV13" i="4"/>
  <c r="AV14" i="4"/>
  <c r="AV15" i="4"/>
  <c r="AV16" i="4"/>
  <c r="AV17" i="4"/>
  <c r="AV18" i="4"/>
  <c r="AV19" i="4"/>
  <c r="AV20" i="4"/>
  <c r="AV21" i="4"/>
  <c r="AV22" i="4"/>
  <c r="AV23" i="4"/>
  <c r="AV24" i="4"/>
  <c r="AV25" i="4"/>
  <c r="AV26" i="4"/>
  <c r="AV27" i="4"/>
  <c r="AV28" i="4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M11" i="10"/>
  <c r="M12" i="10"/>
  <c r="M13" i="10"/>
  <c r="K8" i="14"/>
  <c r="L5" i="14"/>
  <c r="I5" i="14" s="1"/>
  <c r="J5" i="14"/>
  <c r="K8" i="13"/>
  <c r="L5" i="13"/>
  <c r="I5" i="13" s="1"/>
  <c r="J5" i="13"/>
  <c r="AT18" i="13" s="1"/>
  <c r="K8" i="12"/>
  <c r="K7" i="12" s="1"/>
  <c r="L5" i="12"/>
  <c r="I5" i="12" s="1"/>
  <c r="J5" i="12"/>
  <c r="AT11" i="12" s="1"/>
  <c r="K8" i="11"/>
  <c r="L5" i="11"/>
  <c r="I5" i="11" s="1"/>
  <c r="J5" i="11"/>
  <c r="AT14" i="11" s="1"/>
  <c r="K8" i="10"/>
  <c r="L5" i="10"/>
  <c r="I5" i="10" s="1"/>
  <c r="AZ13" i="10" s="1"/>
  <c r="J5" i="10"/>
  <c r="K8" i="9"/>
  <c r="L5" i="9"/>
  <c r="I5" i="9" s="1"/>
  <c r="J5" i="9"/>
  <c r="AT15" i="9" s="1"/>
  <c r="K8" i="8"/>
  <c r="K7" i="8" s="1"/>
  <c r="L5" i="8"/>
  <c r="I5" i="8" s="1"/>
  <c r="J5" i="8"/>
  <c r="K8" i="7"/>
  <c r="K7" i="7" s="1"/>
  <c r="L5" i="7"/>
  <c r="I5" i="7" s="1"/>
  <c r="J5" i="7"/>
  <c r="AT19" i="7" s="1"/>
  <c r="K8" i="6"/>
  <c r="K7" i="6" s="1"/>
  <c r="L5" i="6"/>
  <c r="I5" i="6" s="1"/>
  <c r="J5" i="6"/>
  <c r="AT16" i="6" s="1"/>
  <c r="K8" i="5"/>
  <c r="K7" i="5" s="1"/>
  <c r="L5" i="5"/>
  <c r="I5" i="5" s="1"/>
  <c r="J5" i="5"/>
  <c r="AT11" i="5" s="1"/>
  <c r="K8" i="4"/>
  <c r="L5" i="4"/>
  <c r="I5" i="4" s="1"/>
  <c r="AZ10" i="4" s="1"/>
  <c r="J5" i="4"/>
  <c r="J5" i="2"/>
  <c r="AT10" i="2" s="1"/>
  <c r="L8" i="13" l="1"/>
  <c r="L8" i="12"/>
  <c r="M8" i="12" s="1"/>
  <c r="L8" i="11"/>
  <c r="L8" i="10"/>
  <c r="L8" i="9"/>
  <c r="L8" i="7"/>
  <c r="L8" i="6"/>
  <c r="AT10" i="6"/>
  <c r="L8" i="4"/>
  <c r="L8" i="14"/>
  <c r="K7" i="14"/>
  <c r="AT28" i="14"/>
  <c r="AT26" i="14"/>
  <c r="AT24" i="14"/>
  <c r="AT22" i="14"/>
  <c r="AT27" i="14"/>
  <c r="AT21" i="14"/>
  <c r="AT20" i="14"/>
  <c r="AT18" i="14"/>
  <c r="AT16" i="14"/>
  <c r="AT25" i="14"/>
  <c r="AT23" i="14"/>
  <c r="AT19" i="14"/>
  <c r="AT17" i="14"/>
  <c r="AT15" i="14"/>
  <c r="AT13" i="14"/>
  <c r="AT14" i="14"/>
  <c r="AT11" i="14"/>
  <c r="AT12" i="14"/>
  <c r="AT9" i="14"/>
  <c r="AT10" i="14"/>
  <c r="AZ28" i="14"/>
  <c r="AZ26" i="14"/>
  <c r="AZ24" i="14"/>
  <c r="AZ22" i="14"/>
  <c r="AZ27" i="14"/>
  <c r="AZ25" i="14"/>
  <c r="AZ23" i="14"/>
  <c r="AZ21" i="14"/>
  <c r="AZ19" i="14"/>
  <c r="AZ17" i="14"/>
  <c r="AZ15" i="14"/>
  <c r="AZ16" i="14"/>
  <c r="AZ14" i="14"/>
  <c r="AZ13" i="14"/>
  <c r="AZ10" i="14"/>
  <c r="AZ11" i="14"/>
  <c r="AZ18" i="14"/>
  <c r="AZ12" i="14"/>
  <c r="AZ20" i="14"/>
  <c r="AZ9" i="14"/>
  <c r="AZ28" i="13"/>
  <c r="AZ26" i="13"/>
  <c r="AZ24" i="13"/>
  <c r="AZ22" i="13"/>
  <c r="AZ27" i="13"/>
  <c r="AZ25" i="13"/>
  <c r="AZ19" i="13"/>
  <c r="AZ21" i="13"/>
  <c r="AZ20" i="13"/>
  <c r="AZ18" i="13"/>
  <c r="AZ23" i="13"/>
  <c r="AZ16" i="13"/>
  <c r="AZ14" i="13"/>
  <c r="AZ17" i="13"/>
  <c r="AZ15" i="13"/>
  <c r="AZ13" i="13"/>
  <c r="AZ11" i="13"/>
  <c r="AZ10" i="13"/>
  <c r="AZ12" i="13"/>
  <c r="AZ9" i="13"/>
  <c r="M8" i="13"/>
  <c r="L7" i="13"/>
  <c r="AT12" i="13"/>
  <c r="AT13" i="13"/>
  <c r="AT17" i="13"/>
  <c r="K7" i="13"/>
  <c r="AT10" i="13"/>
  <c r="AT11" i="13"/>
  <c r="AT28" i="13"/>
  <c r="AT26" i="13"/>
  <c r="AT25" i="13"/>
  <c r="AT27" i="13"/>
  <c r="AT22" i="13"/>
  <c r="AT21" i="13"/>
  <c r="AT24" i="13"/>
  <c r="AT23" i="13"/>
  <c r="AT20" i="13"/>
  <c r="AT19" i="13"/>
  <c r="AT16" i="13"/>
  <c r="AT14" i="13"/>
  <c r="AT9" i="13"/>
  <c r="AT15" i="13"/>
  <c r="AZ28" i="12"/>
  <c r="AZ26" i="12"/>
  <c r="AZ24" i="12"/>
  <c r="AZ22" i="12"/>
  <c r="AZ25" i="12"/>
  <c r="AZ19" i="12"/>
  <c r="AZ27" i="12"/>
  <c r="AZ21" i="12"/>
  <c r="AZ20" i="12"/>
  <c r="AZ18" i="12"/>
  <c r="AZ23" i="12"/>
  <c r="AZ16" i="12"/>
  <c r="AZ14" i="12"/>
  <c r="AZ17" i="12"/>
  <c r="AZ12" i="12"/>
  <c r="AZ9" i="12"/>
  <c r="AZ15" i="12"/>
  <c r="AZ11" i="12"/>
  <c r="AZ13" i="12"/>
  <c r="AZ10" i="12"/>
  <c r="N8" i="12"/>
  <c r="M7" i="12"/>
  <c r="L7" i="12"/>
  <c r="AT28" i="12"/>
  <c r="AT26" i="12"/>
  <c r="AT25" i="12"/>
  <c r="AT27" i="12"/>
  <c r="AT19" i="12"/>
  <c r="AT22" i="12"/>
  <c r="AT21" i="12"/>
  <c r="AT17" i="12"/>
  <c r="AT15" i="12"/>
  <c r="AT13" i="12"/>
  <c r="AT24" i="12"/>
  <c r="AT23" i="12"/>
  <c r="AT20" i="12"/>
  <c r="AT12" i="12"/>
  <c r="AT18" i="12"/>
  <c r="AT16" i="12"/>
  <c r="AT14" i="12"/>
  <c r="AT9" i="12"/>
  <c r="AT10" i="12"/>
  <c r="AZ28" i="11"/>
  <c r="AZ26" i="11"/>
  <c r="AZ24" i="11"/>
  <c r="AZ22" i="11"/>
  <c r="AZ27" i="11"/>
  <c r="AZ25" i="11"/>
  <c r="AZ23" i="11"/>
  <c r="AZ21" i="11"/>
  <c r="AZ19" i="11"/>
  <c r="AZ17" i="11"/>
  <c r="AZ16" i="11"/>
  <c r="AZ14" i="11"/>
  <c r="AZ11" i="11"/>
  <c r="AZ20" i="11"/>
  <c r="AZ15" i="11"/>
  <c r="AZ10" i="11"/>
  <c r="AZ9" i="11"/>
  <c r="AZ18" i="11"/>
  <c r="AZ13" i="11"/>
  <c r="AZ12" i="11"/>
  <c r="M8" i="11"/>
  <c r="L7" i="11"/>
  <c r="AT13" i="11"/>
  <c r="K7" i="11"/>
  <c r="AT10" i="11"/>
  <c r="AT11" i="11"/>
  <c r="AT28" i="11"/>
  <c r="AT26" i="11"/>
  <c r="AT24" i="11"/>
  <c r="AT22" i="11"/>
  <c r="AT27" i="11"/>
  <c r="AT21" i="11"/>
  <c r="AT20" i="11"/>
  <c r="AT18" i="11"/>
  <c r="AT16" i="11"/>
  <c r="AT25" i="11"/>
  <c r="AT23" i="11"/>
  <c r="AT19" i="11"/>
  <c r="AT17" i="11"/>
  <c r="AT15" i="11"/>
  <c r="AT9" i="11"/>
  <c r="AT12" i="11"/>
  <c r="BC13" i="10"/>
  <c r="M8" i="10"/>
  <c r="L7" i="10"/>
  <c r="AT28" i="10"/>
  <c r="AT26" i="10"/>
  <c r="AT24" i="10"/>
  <c r="AT22" i="10"/>
  <c r="AT27" i="10"/>
  <c r="AT25" i="10"/>
  <c r="AT19" i="10"/>
  <c r="AT17" i="10"/>
  <c r="AT15" i="10"/>
  <c r="AT23" i="10"/>
  <c r="AT20" i="10"/>
  <c r="AT13" i="10"/>
  <c r="AT18" i="10"/>
  <c r="AT12" i="10"/>
  <c r="AT9" i="10"/>
  <c r="AT21" i="10"/>
  <c r="AT16" i="10"/>
  <c r="AT14" i="10"/>
  <c r="AT11" i="10"/>
  <c r="AT10" i="10"/>
  <c r="AZ28" i="10"/>
  <c r="AZ26" i="10"/>
  <c r="AZ24" i="10"/>
  <c r="AZ22" i="10"/>
  <c r="AZ27" i="10"/>
  <c r="AZ25" i="10"/>
  <c r="AZ23" i="10"/>
  <c r="AZ21" i="10"/>
  <c r="AZ19" i="10"/>
  <c r="AZ17" i="10"/>
  <c r="AZ20" i="10"/>
  <c r="AZ18" i="10"/>
  <c r="AZ16" i="10"/>
  <c r="AZ12" i="10"/>
  <c r="AZ15" i="10"/>
  <c r="AZ14" i="10"/>
  <c r="AZ11" i="10"/>
  <c r="AZ10" i="10"/>
  <c r="K7" i="10"/>
  <c r="AZ9" i="10"/>
  <c r="AZ28" i="9"/>
  <c r="AZ26" i="9"/>
  <c r="AZ24" i="9"/>
  <c r="AZ22" i="9"/>
  <c r="AZ25" i="9"/>
  <c r="AZ19" i="9"/>
  <c r="AZ17" i="9"/>
  <c r="AZ27" i="9"/>
  <c r="AZ23" i="9"/>
  <c r="AZ18" i="9"/>
  <c r="AZ16" i="9"/>
  <c r="AZ14" i="9"/>
  <c r="AZ11" i="9"/>
  <c r="AZ15" i="9"/>
  <c r="AZ13" i="9"/>
  <c r="AZ12" i="9"/>
  <c r="AZ21" i="9"/>
  <c r="AZ10" i="9"/>
  <c r="AZ20" i="9"/>
  <c r="AZ9" i="9"/>
  <c r="M8" i="9"/>
  <c r="L7" i="9"/>
  <c r="AT13" i="9"/>
  <c r="K7" i="9"/>
  <c r="AT10" i="9"/>
  <c r="AT28" i="9"/>
  <c r="AT26" i="9"/>
  <c r="AT24" i="9"/>
  <c r="AT20" i="9"/>
  <c r="AT18" i="9"/>
  <c r="AT27" i="9"/>
  <c r="AT23" i="9"/>
  <c r="AT19" i="9"/>
  <c r="AT17" i="9"/>
  <c r="AT25" i="9"/>
  <c r="AT22" i="9"/>
  <c r="AT21" i="9"/>
  <c r="AT12" i="9"/>
  <c r="AT16" i="9"/>
  <c r="AT14" i="9"/>
  <c r="AT11" i="9"/>
  <c r="AT9" i="9"/>
  <c r="AZ28" i="8"/>
  <c r="AZ26" i="8"/>
  <c r="AZ24" i="8"/>
  <c r="AZ22" i="8"/>
  <c r="AZ27" i="8"/>
  <c r="AZ25" i="8"/>
  <c r="AZ23" i="8"/>
  <c r="AZ21" i="8"/>
  <c r="AZ19" i="8"/>
  <c r="AZ17" i="8"/>
  <c r="AZ15" i="8"/>
  <c r="AZ20" i="8"/>
  <c r="AZ18" i="8"/>
  <c r="AZ16" i="8"/>
  <c r="AZ14" i="8"/>
  <c r="AZ10" i="8"/>
  <c r="AZ13" i="8"/>
  <c r="AZ12" i="8"/>
  <c r="AZ9" i="8"/>
  <c r="AZ11" i="8"/>
  <c r="AT28" i="8"/>
  <c r="AT26" i="8"/>
  <c r="AT24" i="8"/>
  <c r="AT22" i="8"/>
  <c r="AT27" i="8"/>
  <c r="AT25" i="8"/>
  <c r="AT19" i="8"/>
  <c r="AT17" i="8"/>
  <c r="AT15" i="8"/>
  <c r="AT23" i="8"/>
  <c r="AT12" i="8"/>
  <c r="K9" i="8"/>
  <c r="K11" i="8"/>
  <c r="AT13" i="8"/>
  <c r="AT14" i="8"/>
  <c r="AT16" i="8"/>
  <c r="AT21" i="8"/>
  <c r="AT9" i="8"/>
  <c r="AT10" i="8"/>
  <c r="K12" i="8"/>
  <c r="AT18" i="8"/>
  <c r="K28" i="8"/>
  <c r="K26" i="8"/>
  <c r="K24" i="8"/>
  <c r="K22" i="8"/>
  <c r="K27" i="8"/>
  <c r="K25" i="8"/>
  <c r="K23" i="8"/>
  <c r="K21" i="8"/>
  <c r="K19" i="8"/>
  <c r="K17" i="8"/>
  <c r="K15" i="8"/>
  <c r="K20" i="8"/>
  <c r="K18" i="8"/>
  <c r="K16" i="8"/>
  <c r="K14" i="8"/>
  <c r="L8" i="8"/>
  <c r="K10" i="8"/>
  <c r="AT11" i="8"/>
  <c r="K13" i="8"/>
  <c r="AT20" i="8"/>
  <c r="AZ28" i="7"/>
  <c r="AZ26" i="7"/>
  <c r="AZ24" i="7"/>
  <c r="AZ22" i="7"/>
  <c r="AZ27" i="7"/>
  <c r="AZ25" i="7"/>
  <c r="AZ23" i="7"/>
  <c r="AZ20" i="7"/>
  <c r="AZ18" i="7"/>
  <c r="AZ16" i="7"/>
  <c r="AZ21" i="7"/>
  <c r="AZ19" i="7"/>
  <c r="AZ17" i="7"/>
  <c r="AZ15" i="7"/>
  <c r="AZ10" i="7"/>
  <c r="AZ11" i="7"/>
  <c r="AZ14" i="7"/>
  <c r="AZ13" i="7"/>
  <c r="AZ12" i="7"/>
  <c r="AZ9" i="7"/>
  <c r="M8" i="7"/>
  <c r="L7" i="7"/>
  <c r="AT9" i="7"/>
  <c r="AT15" i="7"/>
  <c r="AT13" i="7"/>
  <c r="AT17" i="7"/>
  <c r="AT10" i="7"/>
  <c r="AT28" i="7"/>
  <c r="AT26" i="7"/>
  <c r="AT24" i="7"/>
  <c r="AT22" i="7"/>
  <c r="AT27" i="7"/>
  <c r="AT25" i="7"/>
  <c r="AT21" i="7"/>
  <c r="AT20" i="7"/>
  <c r="AT18" i="7"/>
  <c r="AT16" i="7"/>
  <c r="AT14" i="7"/>
  <c r="AT23" i="7"/>
  <c r="AT12" i="7"/>
  <c r="AT11" i="7"/>
  <c r="AZ28" i="6"/>
  <c r="AZ26" i="6"/>
  <c r="AZ24" i="6"/>
  <c r="AZ22" i="6"/>
  <c r="AZ25" i="6"/>
  <c r="AZ21" i="6"/>
  <c r="AZ19" i="6"/>
  <c r="AZ27" i="6"/>
  <c r="AZ23" i="6"/>
  <c r="AZ20" i="6"/>
  <c r="AZ18" i="6"/>
  <c r="AZ16" i="6"/>
  <c r="AZ12" i="6"/>
  <c r="AZ9" i="6"/>
  <c r="AZ14" i="6"/>
  <c r="AZ11" i="6"/>
  <c r="AZ17" i="6"/>
  <c r="AZ10" i="6"/>
  <c r="AZ15" i="6"/>
  <c r="AZ13" i="6"/>
  <c r="M8" i="6"/>
  <c r="L7" i="6"/>
  <c r="AT20" i="6"/>
  <c r="AT11" i="6"/>
  <c r="AT14" i="6"/>
  <c r="AT28" i="6"/>
  <c r="AT26" i="6"/>
  <c r="AT24" i="6"/>
  <c r="AT22" i="6"/>
  <c r="AT27" i="6"/>
  <c r="AT23" i="6"/>
  <c r="AT19" i="6"/>
  <c r="AT17" i="6"/>
  <c r="AT9" i="6"/>
  <c r="AT12" i="6"/>
  <c r="AT21" i="6"/>
  <c r="AT13" i="6"/>
  <c r="AT15" i="6"/>
  <c r="AT18" i="6"/>
  <c r="AT25" i="6"/>
  <c r="AZ28" i="5"/>
  <c r="AZ26" i="5"/>
  <c r="AZ24" i="5"/>
  <c r="AZ27" i="5"/>
  <c r="AZ25" i="5"/>
  <c r="AZ23" i="5"/>
  <c r="AZ21" i="5"/>
  <c r="AZ20" i="5"/>
  <c r="AZ18" i="5"/>
  <c r="AZ16" i="5"/>
  <c r="AZ14" i="5"/>
  <c r="AZ22" i="5"/>
  <c r="AZ19" i="5"/>
  <c r="AZ17" i="5"/>
  <c r="AZ15" i="5"/>
  <c r="AZ13" i="5"/>
  <c r="AZ11" i="5"/>
  <c r="AZ10" i="5"/>
  <c r="AZ12" i="5"/>
  <c r="AZ9" i="5"/>
  <c r="AT13" i="5"/>
  <c r="L8" i="5"/>
  <c r="AT10" i="5"/>
  <c r="AT28" i="5"/>
  <c r="AT26" i="5"/>
  <c r="AT24" i="5"/>
  <c r="AT27" i="5"/>
  <c r="AT25" i="5"/>
  <c r="AT23" i="5"/>
  <c r="AT21" i="5"/>
  <c r="AT19" i="5"/>
  <c r="AT17" i="5"/>
  <c r="AT15" i="5"/>
  <c r="AT22" i="5"/>
  <c r="AT20" i="5"/>
  <c r="AT18" i="5"/>
  <c r="AT16" i="5"/>
  <c r="AT14" i="5"/>
  <c r="AT9" i="5"/>
  <c r="AT12" i="5"/>
  <c r="BC10" i="4"/>
  <c r="AT28" i="4"/>
  <c r="AT26" i="4"/>
  <c r="AT24" i="4"/>
  <c r="AT22" i="4"/>
  <c r="AT27" i="4"/>
  <c r="AT21" i="4"/>
  <c r="AT20" i="4"/>
  <c r="AT18" i="4"/>
  <c r="AT16" i="4"/>
  <c r="AT14" i="4"/>
  <c r="AT25" i="4"/>
  <c r="AT17" i="4"/>
  <c r="AT10" i="4"/>
  <c r="AT23" i="4"/>
  <c r="AT19" i="4"/>
  <c r="AT15" i="4"/>
  <c r="AT13" i="4"/>
  <c r="AT12" i="4"/>
  <c r="AZ28" i="4"/>
  <c r="AZ26" i="4"/>
  <c r="AZ24" i="4"/>
  <c r="AZ22" i="4"/>
  <c r="AZ27" i="4"/>
  <c r="AZ25" i="4"/>
  <c r="AZ23" i="4"/>
  <c r="AZ21" i="4"/>
  <c r="AZ19" i="4"/>
  <c r="AZ17" i="4"/>
  <c r="AZ15" i="4"/>
  <c r="AZ13" i="4"/>
  <c r="AZ18" i="4"/>
  <c r="AZ12" i="4"/>
  <c r="AZ9" i="4"/>
  <c r="AT11" i="4"/>
  <c r="AZ14" i="4"/>
  <c r="AZ20" i="4"/>
  <c r="AT9" i="4"/>
  <c r="AZ11" i="4"/>
  <c r="AZ16" i="4"/>
  <c r="K7" i="4"/>
  <c r="AT25" i="2"/>
  <c r="AT21" i="2"/>
  <c r="AT17" i="2"/>
  <c r="AT13" i="2"/>
  <c r="AT9" i="2"/>
  <c r="AT28" i="2"/>
  <c r="AT24" i="2"/>
  <c r="AT20" i="2"/>
  <c r="AT16" i="2"/>
  <c r="AT12" i="2"/>
  <c r="AT26" i="2"/>
  <c r="AT22" i="2"/>
  <c r="AT18" i="2"/>
  <c r="AT14" i="2"/>
  <c r="AT27" i="2"/>
  <c r="AT23" i="2"/>
  <c r="AT19" i="2"/>
  <c r="AT15" i="2"/>
  <c r="AT11" i="2"/>
  <c r="K8" i="2"/>
  <c r="K7" i="2" s="1"/>
  <c r="L5" i="2"/>
  <c r="I5" i="2" s="1"/>
  <c r="L7" i="4" l="1"/>
  <c r="M8" i="4"/>
  <c r="BC13" i="14"/>
  <c r="BC25" i="14"/>
  <c r="BC18" i="14"/>
  <c r="BC14" i="14"/>
  <c r="BC27" i="14"/>
  <c r="BC28" i="14"/>
  <c r="BC9" i="14"/>
  <c r="BC11" i="14"/>
  <c r="BC16" i="14"/>
  <c r="BC21" i="14"/>
  <c r="BC22" i="14"/>
  <c r="BC12" i="14"/>
  <c r="BC17" i="14"/>
  <c r="BC26" i="14"/>
  <c r="BC19" i="14"/>
  <c r="BC20" i="14"/>
  <c r="BC10" i="14"/>
  <c r="BC15" i="14"/>
  <c r="BC23" i="14"/>
  <c r="BC24" i="14"/>
  <c r="M8" i="14"/>
  <c r="L7" i="14"/>
  <c r="BC9" i="13"/>
  <c r="BC13" i="13"/>
  <c r="BC16" i="13"/>
  <c r="BC21" i="13"/>
  <c r="BC22" i="13"/>
  <c r="BC12" i="13"/>
  <c r="BC15" i="13"/>
  <c r="BC23" i="13"/>
  <c r="BC19" i="13"/>
  <c r="BC24" i="13"/>
  <c r="L21" i="13"/>
  <c r="L23" i="13"/>
  <c r="L22" i="13"/>
  <c r="L25" i="13"/>
  <c r="L24" i="13"/>
  <c r="L28" i="13"/>
  <c r="L17" i="13"/>
  <c r="L15" i="13"/>
  <c r="L19" i="13"/>
  <c r="L26" i="13"/>
  <c r="L18" i="13"/>
  <c r="L10" i="13"/>
  <c r="L20" i="13"/>
  <c r="L16" i="13"/>
  <c r="L14" i="13"/>
  <c r="L12" i="13"/>
  <c r="L27" i="13"/>
  <c r="L13" i="13"/>
  <c r="L11" i="13"/>
  <c r="L9" i="13"/>
  <c r="BC10" i="13"/>
  <c r="BC17" i="13"/>
  <c r="BC18" i="13"/>
  <c r="BC25" i="13"/>
  <c r="BC26" i="13"/>
  <c r="N8" i="13"/>
  <c r="M7" i="13"/>
  <c r="BC11" i="13"/>
  <c r="BC14" i="13"/>
  <c r="BC20" i="13"/>
  <c r="BC27" i="13"/>
  <c r="BC28" i="13"/>
  <c r="O8" i="12"/>
  <c r="N7" i="12"/>
  <c r="BC10" i="12"/>
  <c r="BC9" i="12"/>
  <c r="BC16" i="12"/>
  <c r="BC22" i="12"/>
  <c r="BC13" i="12"/>
  <c r="BC24" i="12"/>
  <c r="BC11" i="12"/>
  <c r="BC17" i="12"/>
  <c r="BC18" i="12"/>
  <c r="BC19" i="12"/>
  <c r="BC26" i="12"/>
  <c r="BC21" i="12"/>
  <c r="BC12" i="12"/>
  <c r="BC23" i="12"/>
  <c r="BC27" i="12"/>
  <c r="BC15" i="12"/>
  <c r="BC14" i="12"/>
  <c r="BC20" i="12"/>
  <c r="BC25" i="12"/>
  <c r="BC28" i="12"/>
  <c r="BC12" i="11"/>
  <c r="BC22" i="11"/>
  <c r="BC13" i="11"/>
  <c r="BC15" i="11"/>
  <c r="BC16" i="11"/>
  <c r="BC23" i="11"/>
  <c r="BC24" i="11"/>
  <c r="BC10" i="11"/>
  <c r="BC21" i="11"/>
  <c r="BC18" i="11"/>
  <c r="BC20" i="11"/>
  <c r="BC17" i="11"/>
  <c r="BC25" i="11"/>
  <c r="BC26" i="11"/>
  <c r="BC14" i="11"/>
  <c r="N8" i="11"/>
  <c r="M7" i="11"/>
  <c r="BC9" i="11"/>
  <c r="BC11" i="11"/>
  <c r="BC19" i="11"/>
  <c r="BC27" i="11"/>
  <c r="BC28" i="11"/>
  <c r="BC15" i="10"/>
  <c r="BC20" i="10"/>
  <c r="BC23" i="10"/>
  <c r="BC24" i="10"/>
  <c r="N8" i="10"/>
  <c r="M7" i="10"/>
  <c r="BC14" i="10"/>
  <c r="BC21" i="10"/>
  <c r="BC10" i="10"/>
  <c r="BC12" i="10"/>
  <c r="BC17" i="10"/>
  <c r="BC25" i="10"/>
  <c r="BC26" i="10"/>
  <c r="BC9" i="10"/>
  <c r="BC18" i="10"/>
  <c r="BC22" i="10"/>
  <c r="BC11" i="10"/>
  <c r="BC16" i="10"/>
  <c r="BC19" i="10"/>
  <c r="BC27" i="10"/>
  <c r="BC28" i="10"/>
  <c r="BC22" i="9"/>
  <c r="BC20" i="9"/>
  <c r="BC13" i="9"/>
  <c r="BC16" i="9"/>
  <c r="BC17" i="9"/>
  <c r="BC24" i="9"/>
  <c r="BC12" i="9"/>
  <c r="BC14" i="9"/>
  <c r="BC10" i="9"/>
  <c r="BC15" i="9"/>
  <c r="BC18" i="9"/>
  <c r="BC19" i="9"/>
  <c r="BC26" i="9"/>
  <c r="BC9" i="9"/>
  <c r="BC27" i="9"/>
  <c r="N8" i="9"/>
  <c r="M7" i="9"/>
  <c r="BC21" i="9"/>
  <c r="BC11" i="9"/>
  <c r="BC23" i="9"/>
  <c r="BC25" i="9"/>
  <c r="BC28" i="9"/>
  <c r="BC10" i="8"/>
  <c r="BC22" i="8"/>
  <c r="M8" i="8"/>
  <c r="L7" i="8"/>
  <c r="BC9" i="8"/>
  <c r="BC14" i="8"/>
  <c r="BC15" i="8"/>
  <c r="BC23" i="8"/>
  <c r="BC24" i="8"/>
  <c r="BC20" i="8"/>
  <c r="BC12" i="8"/>
  <c r="BC16" i="8"/>
  <c r="BC17" i="8"/>
  <c r="BC25" i="8"/>
  <c r="BC26" i="8"/>
  <c r="BC11" i="8"/>
  <c r="BC21" i="8"/>
  <c r="BC13" i="8"/>
  <c r="BC18" i="8"/>
  <c r="BC19" i="8"/>
  <c r="BC27" i="8"/>
  <c r="BC28" i="8"/>
  <c r="BC11" i="7"/>
  <c r="BC22" i="7"/>
  <c r="BC12" i="7"/>
  <c r="BC10" i="7"/>
  <c r="BC21" i="7"/>
  <c r="BC23" i="7"/>
  <c r="BC24" i="7"/>
  <c r="BC9" i="7"/>
  <c r="BC20" i="7"/>
  <c r="N8" i="7"/>
  <c r="M7" i="7"/>
  <c r="BC13" i="7"/>
  <c r="BC15" i="7"/>
  <c r="BC16" i="7"/>
  <c r="BC25" i="7"/>
  <c r="BC26" i="7"/>
  <c r="BC19" i="7"/>
  <c r="BC14" i="7"/>
  <c r="BC17" i="7"/>
  <c r="BC18" i="7"/>
  <c r="BC27" i="7"/>
  <c r="BC28" i="7"/>
  <c r="BC15" i="6"/>
  <c r="BC14" i="6"/>
  <c r="BC18" i="6"/>
  <c r="BC19" i="6"/>
  <c r="BC24" i="6"/>
  <c r="BC10" i="6"/>
  <c r="BC9" i="6"/>
  <c r="BC20" i="6"/>
  <c r="BC21" i="6"/>
  <c r="BC26" i="6"/>
  <c r="BC17" i="6"/>
  <c r="BC12" i="6"/>
  <c r="BC23" i="6"/>
  <c r="BC25" i="6"/>
  <c r="BC28" i="6"/>
  <c r="N8" i="6"/>
  <c r="M7" i="6"/>
  <c r="BC13" i="6"/>
  <c r="BC11" i="6"/>
  <c r="BC16" i="6"/>
  <c r="BC27" i="6"/>
  <c r="BC22" i="6"/>
  <c r="BC12" i="5"/>
  <c r="BC15" i="5"/>
  <c r="BC14" i="5"/>
  <c r="BC21" i="5"/>
  <c r="BC24" i="5"/>
  <c r="BC10" i="5"/>
  <c r="BC17" i="5"/>
  <c r="BC16" i="5"/>
  <c r="BC23" i="5"/>
  <c r="BC26" i="5"/>
  <c r="M8" i="5"/>
  <c r="L7" i="5"/>
  <c r="BC11" i="5"/>
  <c r="BC19" i="5"/>
  <c r="BC18" i="5"/>
  <c r="BC25" i="5"/>
  <c r="BC28" i="5"/>
  <c r="BC9" i="5"/>
  <c r="BC13" i="5"/>
  <c r="BC22" i="5"/>
  <c r="BC20" i="5"/>
  <c r="BC27" i="5"/>
  <c r="BC13" i="4"/>
  <c r="BC22" i="4"/>
  <c r="BC11" i="4"/>
  <c r="BC12" i="4"/>
  <c r="BC17" i="4"/>
  <c r="BC25" i="4"/>
  <c r="BC26" i="4"/>
  <c r="BC21" i="4"/>
  <c r="BC16" i="4"/>
  <c r="BC20" i="4"/>
  <c r="BC9" i="4"/>
  <c r="BC15" i="4"/>
  <c r="BC23" i="4"/>
  <c r="BC24" i="4"/>
  <c r="BC14" i="4"/>
  <c r="BC18" i="4"/>
  <c r="BC19" i="4"/>
  <c r="BC27" i="4"/>
  <c r="BC28" i="4"/>
  <c r="AZ11" i="2"/>
  <c r="BC11" i="2" s="1"/>
  <c r="AZ15" i="2"/>
  <c r="BC15" i="2" s="1"/>
  <c r="AZ19" i="2"/>
  <c r="BC19" i="2" s="1"/>
  <c r="AZ23" i="2"/>
  <c r="BC23" i="2" s="1"/>
  <c r="AZ27" i="2"/>
  <c r="BC27" i="2" s="1"/>
  <c r="AZ13" i="2"/>
  <c r="BC13" i="2" s="1"/>
  <c r="AZ17" i="2"/>
  <c r="BC17" i="2" s="1"/>
  <c r="AZ25" i="2"/>
  <c r="BC25" i="2" s="1"/>
  <c r="AZ14" i="2"/>
  <c r="BC14" i="2" s="1"/>
  <c r="AZ22" i="2"/>
  <c r="BC22" i="2" s="1"/>
  <c r="AZ12" i="2"/>
  <c r="BC12" i="2" s="1"/>
  <c r="AZ16" i="2"/>
  <c r="BC16" i="2" s="1"/>
  <c r="AZ20" i="2"/>
  <c r="BC20" i="2" s="1"/>
  <c r="AZ24" i="2"/>
  <c r="BC24" i="2" s="1"/>
  <c r="AZ28" i="2"/>
  <c r="BC28" i="2" s="1"/>
  <c r="AZ9" i="2"/>
  <c r="BC9" i="2" s="1"/>
  <c r="AZ21" i="2"/>
  <c r="BC21" i="2" s="1"/>
  <c r="AZ10" i="2"/>
  <c r="BC10" i="2" s="1"/>
  <c r="AZ18" i="2"/>
  <c r="BC18" i="2" s="1"/>
  <c r="AZ26" i="2"/>
  <c r="BC26" i="2" s="1"/>
  <c r="L8" i="2"/>
  <c r="N8" i="4" l="1"/>
  <c r="M7" i="4"/>
  <c r="L13" i="4"/>
  <c r="L22" i="4"/>
  <c r="L28" i="4"/>
  <c r="L9" i="4"/>
  <c r="L21" i="4"/>
  <c r="L14" i="4"/>
  <c r="L10" i="4"/>
  <c r="L15" i="4"/>
  <c r="L12" i="4"/>
  <c r="L27" i="4"/>
  <c r="L19" i="4"/>
  <c r="L20" i="4"/>
  <c r="L26" i="4"/>
  <c r="L25" i="4"/>
  <c r="L17" i="4"/>
  <c r="L16" i="4"/>
  <c r="L18" i="4"/>
  <c r="L23" i="4"/>
  <c r="L11" i="4"/>
  <c r="L24" i="4"/>
  <c r="N8" i="14"/>
  <c r="M7" i="14"/>
  <c r="N7" i="13"/>
  <c r="O8" i="13"/>
  <c r="O7" i="12"/>
  <c r="P8" i="12"/>
  <c r="O8" i="11"/>
  <c r="N7" i="11"/>
  <c r="M27" i="10"/>
  <c r="M25" i="10"/>
  <c r="M23" i="10"/>
  <c r="M21" i="10"/>
  <c r="M28" i="10"/>
  <c r="M26" i="10"/>
  <c r="M24" i="10"/>
  <c r="M22" i="10"/>
  <c r="M20" i="10"/>
  <c r="M18" i="10"/>
  <c r="M19" i="10"/>
  <c r="M17" i="10"/>
  <c r="M15" i="10"/>
  <c r="M16" i="10"/>
  <c r="M10" i="10"/>
  <c r="M14" i="10"/>
  <c r="M9" i="10"/>
  <c r="O8" i="10"/>
  <c r="N7" i="10"/>
  <c r="O8" i="9"/>
  <c r="N7" i="9"/>
  <c r="N8" i="8"/>
  <c r="M7" i="8"/>
  <c r="O8" i="7"/>
  <c r="N7" i="7"/>
  <c r="O8" i="6"/>
  <c r="N7" i="6"/>
  <c r="N8" i="5"/>
  <c r="M7" i="5"/>
  <c r="M8" i="2"/>
  <c r="L7" i="2"/>
  <c r="N7" i="4" l="1"/>
  <c r="O8" i="4"/>
  <c r="O8" i="14"/>
  <c r="N7" i="14"/>
  <c r="P8" i="13"/>
  <c r="O7" i="13"/>
  <c r="Q8" i="12"/>
  <c r="P7" i="12"/>
  <c r="O28" i="12"/>
  <c r="O26" i="12"/>
  <c r="O24" i="12"/>
  <c r="O22" i="12"/>
  <c r="O25" i="12"/>
  <c r="O19" i="12"/>
  <c r="O27" i="12"/>
  <c r="O21" i="12"/>
  <c r="O20" i="12"/>
  <c r="O18" i="12"/>
  <c r="O16" i="12"/>
  <c r="O14" i="12"/>
  <c r="O23" i="12"/>
  <c r="O17" i="12"/>
  <c r="O12" i="12"/>
  <c r="O9" i="12"/>
  <c r="O15" i="12"/>
  <c r="O11" i="12"/>
  <c r="O10" i="12"/>
  <c r="O13" i="12"/>
  <c r="P8" i="11"/>
  <c r="O7" i="11"/>
  <c r="P8" i="10"/>
  <c r="O7" i="10"/>
  <c r="P8" i="9"/>
  <c r="O7" i="9"/>
  <c r="O8" i="8"/>
  <c r="N7" i="8"/>
  <c r="N28" i="7"/>
  <c r="N26" i="7"/>
  <c r="N24" i="7"/>
  <c r="N22" i="7"/>
  <c r="N25" i="7"/>
  <c r="N23" i="7"/>
  <c r="N20" i="7"/>
  <c r="N18" i="7"/>
  <c r="N16" i="7"/>
  <c r="N14" i="7"/>
  <c r="N27" i="7"/>
  <c r="N21" i="7"/>
  <c r="N19" i="7"/>
  <c r="N11" i="7"/>
  <c r="N12" i="7"/>
  <c r="N17" i="7"/>
  <c r="N10" i="7"/>
  <c r="N15" i="7"/>
  <c r="N13" i="7"/>
  <c r="N9" i="7"/>
  <c r="P8" i="7"/>
  <c r="O7" i="7"/>
  <c r="O7" i="6"/>
  <c r="P8" i="6"/>
  <c r="O8" i="5"/>
  <c r="N7" i="5"/>
  <c r="N8" i="2"/>
  <c r="M7" i="2"/>
  <c r="P8" i="4" l="1"/>
  <c r="O7" i="4"/>
  <c r="P8" i="14"/>
  <c r="O7" i="14"/>
  <c r="Q8" i="13"/>
  <c r="P7" i="13"/>
  <c r="R8" i="12"/>
  <c r="Q7" i="12"/>
  <c r="Q8" i="11"/>
  <c r="P7" i="11"/>
  <c r="Q8" i="10"/>
  <c r="P7" i="10"/>
  <c r="Q8" i="9"/>
  <c r="P7" i="9"/>
  <c r="O7" i="8"/>
  <c r="P8" i="8"/>
  <c r="Q8" i="7"/>
  <c r="P7" i="7"/>
  <c r="Q8" i="6"/>
  <c r="P7" i="6"/>
  <c r="P8" i="5"/>
  <c r="O7" i="5"/>
  <c r="O8" i="2"/>
  <c r="N7" i="2"/>
  <c r="P7" i="4" l="1"/>
  <c r="Q8" i="4"/>
  <c r="Q8" i="14"/>
  <c r="P7" i="14"/>
  <c r="R8" i="13"/>
  <c r="Q7" i="13"/>
  <c r="S8" i="12"/>
  <c r="R7" i="12"/>
  <c r="R8" i="11"/>
  <c r="Q7" i="11"/>
  <c r="R8" i="10"/>
  <c r="Q7" i="10"/>
  <c r="R8" i="9"/>
  <c r="Q7" i="9"/>
  <c r="P27" i="9"/>
  <c r="P25" i="9"/>
  <c r="P23" i="9"/>
  <c r="P19" i="9"/>
  <c r="P28" i="9"/>
  <c r="P24" i="9"/>
  <c r="P21" i="9"/>
  <c r="P20" i="9"/>
  <c r="P18" i="9"/>
  <c r="P22" i="9"/>
  <c r="P17" i="9"/>
  <c r="P15" i="9"/>
  <c r="P13" i="9"/>
  <c r="P26" i="9"/>
  <c r="P12" i="9"/>
  <c r="P10" i="9"/>
  <c r="P14" i="9"/>
  <c r="P16" i="9"/>
  <c r="P9" i="9"/>
  <c r="P11" i="9"/>
  <c r="Q8" i="8"/>
  <c r="P7" i="8"/>
  <c r="R8" i="7"/>
  <c r="Q7" i="7"/>
  <c r="R8" i="6"/>
  <c r="Q7" i="6"/>
  <c r="P27" i="6"/>
  <c r="P25" i="6"/>
  <c r="P23" i="6"/>
  <c r="P21" i="6"/>
  <c r="P28" i="6"/>
  <c r="P24" i="6"/>
  <c r="P20" i="6"/>
  <c r="P18" i="6"/>
  <c r="P19" i="6"/>
  <c r="P16" i="6"/>
  <c r="P14" i="6"/>
  <c r="P11" i="6"/>
  <c r="P17" i="6"/>
  <c r="P10" i="6"/>
  <c r="P26" i="6"/>
  <c r="P15" i="6"/>
  <c r="P13" i="6"/>
  <c r="P22" i="6"/>
  <c r="P12" i="6"/>
  <c r="P9" i="6"/>
  <c r="Q8" i="5"/>
  <c r="P7" i="5"/>
  <c r="P8" i="2"/>
  <c r="O7" i="2"/>
  <c r="O12" i="2" l="1"/>
  <c r="O20" i="2"/>
  <c r="O22" i="2"/>
  <c r="O24" i="2"/>
  <c r="O13" i="2"/>
  <c r="O15" i="2"/>
  <c r="O17" i="2"/>
  <c r="O19" i="2"/>
  <c r="O21" i="2"/>
  <c r="O23" i="2"/>
  <c r="O25" i="2"/>
  <c r="O27" i="2"/>
  <c r="O18" i="2"/>
  <c r="O28" i="2"/>
  <c r="O11" i="2"/>
  <c r="O14" i="2"/>
  <c r="O16" i="2"/>
  <c r="O26" i="2"/>
  <c r="R8" i="4"/>
  <c r="Q7" i="4"/>
  <c r="R8" i="14"/>
  <c r="Q7" i="14"/>
  <c r="S8" i="13"/>
  <c r="R7" i="13"/>
  <c r="S7" i="12"/>
  <c r="T8" i="12"/>
  <c r="Q27" i="11"/>
  <c r="Q25" i="11"/>
  <c r="Q23" i="11"/>
  <c r="Q21" i="11"/>
  <c r="Q28" i="11"/>
  <c r="Q26" i="11"/>
  <c r="Q24" i="11"/>
  <c r="Q20" i="11"/>
  <c r="Q18" i="11"/>
  <c r="Q15" i="11"/>
  <c r="Q13" i="11"/>
  <c r="Q12" i="11"/>
  <c r="Q9" i="11"/>
  <c r="Q19" i="11"/>
  <c r="Q16" i="11"/>
  <c r="Q22" i="11"/>
  <c r="Q17" i="11"/>
  <c r="Q14" i="11"/>
  <c r="Q11" i="11"/>
  <c r="Q10" i="11"/>
  <c r="S8" i="11"/>
  <c r="R7" i="11"/>
  <c r="R7" i="10"/>
  <c r="S8" i="10"/>
  <c r="S8" i="9"/>
  <c r="R7" i="9"/>
  <c r="Q7" i="8"/>
  <c r="R8" i="8"/>
  <c r="S8" i="7"/>
  <c r="R7" i="7"/>
  <c r="S8" i="6"/>
  <c r="R7" i="6"/>
  <c r="R8" i="5"/>
  <c r="Q7" i="5"/>
  <c r="Q8" i="2"/>
  <c r="P7" i="2"/>
  <c r="R7" i="4" l="1"/>
  <c r="S8" i="4"/>
  <c r="Q27" i="14"/>
  <c r="Q25" i="14"/>
  <c r="Q23" i="14"/>
  <c r="Q21" i="14"/>
  <c r="Q28" i="14"/>
  <c r="Q26" i="14"/>
  <c r="Q24" i="14"/>
  <c r="Q22" i="14"/>
  <c r="Q20" i="14"/>
  <c r="Q18" i="14"/>
  <c r="Q16" i="14"/>
  <c r="Q19" i="14"/>
  <c r="Q15" i="14"/>
  <c r="Q12" i="14"/>
  <c r="Q9" i="14"/>
  <c r="Q13" i="14"/>
  <c r="Q10" i="14"/>
  <c r="Q17" i="14"/>
  <c r="Q14" i="14"/>
  <c r="Q11" i="14"/>
  <c r="S8" i="14"/>
  <c r="R7" i="14"/>
  <c r="T8" i="13"/>
  <c r="S7" i="13"/>
  <c r="U8" i="12"/>
  <c r="T7" i="12"/>
  <c r="T8" i="11"/>
  <c r="S7" i="11"/>
  <c r="T8" i="10"/>
  <c r="S7" i="10"/>
  <c r="T8" i="9"/>
  <c r="S7" i="9"/>
  <c r="S8" i="8"/>
  <c r="R7" i="8"/>
  <c r="T8" i="7"/>
  <c r="S7" i="7"/>
  <c r="T8" i="6"/>
  <c r="S7" i="6"/>
  <c r="S8" i="5"/>
  <c r="R7" i="5"/>
  <c r="R8" i="2"/>
  <c r="Q7" i="2"/>
  <c r="T8" i="4" l="1"/>
  <c r="S7" i="4"/>
  <c r="T8" i="14"/>
  <c r="S7" i="14"/>
  <c r="U8" i="13"/>
  <c r="T7" i="13"/>
  <c r="S28" i="13"/>
  <c r="S26" i="13"/>
  <c r="S24" i="13"/>
  <c r="S22" i="13"/>
  <c r="S23" i="13"/>
  <c r="S25" i="13"/>
  <c r="S27" i="13"/>
  <c r="S20" i="13"/>
  <c r="S18" i="13"/>
  <c r="S16" i="13"/>
  <c r="S21" i="13"/>
  <c r="S19" i="13"/>
  <c r="S17" i="13"/>
  <c r="S15" i="13"/>
  <c r="S13" i="13"/>
  <c r="S12" i="13"/>
  <c r="S11" i="13"/>
  <c r="S10" i="13"/>
  <c r="S14" i="13"/>
  <c r="S9" i="13"/>
  <c r="V8" i="12"/>
  <c r="U7" i="12"/>
  <c r="U8" i="11"/>
  <c r="T7" i="11"/>
  <c r="U8" i="10"/>
  <c r="T7" i="10"/>
  <c r="U8" i="9"/>
  <c r="T7" i="9"/>
  <c r="T8" i="8"/>
  <c r="S7" i="8"/>
  <c r="R28" i="8"/>
  <c r="R26" i="8"/>
  <c r="R24" i="8"/>
  <c r="R22" i="8"/>
  <c r="R23" i="8"/>
  <c r="R19" i="8"/>
  <c r="R17" i="8"/>
  <c r="R15" i="8"/>
  <c r="R27" i="8"/>
  <c r="R16" i="8"/>
  <c r="R11" i="8"/>
  <c r="R10" i="8"/>
  <c r="R25" i="8"/>
  <c r="R21" i="8"/>
  <c r="R12" i="8"/>
  <c r="R9" i="8"/>
  <c r="R20" i="8"/>
  <c r="R14" i="8"/>
  <c r="R13" i="8"/>
  <c r="R18" i="8"/>
  <c r="U8" i="7"/>
  <c r="T7" i="7"/>
  <c r="U8" i="6"/>
  <c r="T7" i="6"/>
  <c r="S7" i="5"/>
  <c r="T8" i="5"/>
  <c r="S8" i="2"/>
  <c r="R7" i="2"/>
  <c r="T7" i="4" l="1"/>
  <c r="U8" i="4"/>
  <c r="U8" i="14"/>
  <c r="T7" i="14"/>
  <c r="V8" i="13"/>
  <c r="U7" i="13"/>
  <c r="W8" i="12"/>
  <c r="V7" i="12"/>
  <c r="V8" i="11"/>
  <c r="U7" i="11"/>
  <c r="T27" i="10"/>
  <c r="T25" i="10"/>
  <c r="T23" i="10"/>
  <c r="T26" i="10"/>
  <c r="T24" i="10"/>
  <c r="T20" i="10"/>
  <c r="T18" i="10"/>
  <c r="T16" i="10"/>
  <c r="T22" i="10"/>
  <c r="T21" i="10"/>
  <c r="T19" i="10"/>
  <c r="T14" i="10"/>
  <c r="T11" i="10"/>
  <c r="T28" i="10"/>
  <c r="T17" i="10"/>
  <c r="T10" i="10"/>
  <c r="T15" i="10"/>
  <c r="T13" i="10"/>
  <c r="T9" i="10"/>
  <c r="T12" i="10"/>
  <c r="V8" i="10"/>
  <c r="U7" i="10"/>
  <c r="V8" i="9"/>
  <c r="U7" i="9"/>
  <c r="U8" i="8"/>
  <c r="T7" i="8"/>
  <c r="V8" i="7"/>
  <c r="U7" i="7"/>
  <c r="V8" i="6"/>
  <c r="U7" i="6"/>
  <c r="U8" i="5"/>
  <c r="T7" i="5"/>
  <c r="T8" i="2"/>
  <c r="S7" i="2"/>
  <c r="U7" i="4" l="1"/>
  <c r="V8" i="4"/>
  <c r="V8" i="14"/>
  <c r="U7" i="14"/>
  <c r="W8" i="13"/>
  <c r="V7" i="13"/>
  <c r="V28" i="12"/>
  <c r="V27" i="12"/>
  <c r="V22" i="12"/>
  <c r="V21" i="12"/>
  <c r="V19" i="12"/>
  <c r="V24" i="12"/>
  <c r="V23" i="12"/>
  <c r="V17" i="12"/>
  <c r="V15" i="12"/>
  <c r="V13" i="12"/>
  <c r="V26" i="12"/>
  <c r="V25" i="12"/>
  <c r="V20" i="12"/>
  <c r="V18" i="12"/>
  <c r="V16" i="12"/>
  <c r="V14" i="12"/>
  <c r="V12" i="12"/>
  <c r="V9" i="12"/>
  <c r="V11" i="12"/>
  <c r="V10" i="12"/>
  <c r="W7" i="12"/>
  <c r="X8" i="12"/>
  <c r="W8" i="11"/>
  <c r="V7" i="11"/>
  <c r="W8" i="10"/>
  <c r="V7" i="10"/>
  <c r="W8" i="9"/>
  <c r="V7" i="9"/>
  <c r="V8" i="8"/>
  <c r="U7" i="8"/>
  <c r="U27" i="7"/>
  <c r="U25" i="7"/>
  <c r="U23" i="7"/>
  <c r="U21" i="7"/>
  <c r="U28" i="7"/>
  <c r="U26" i="7"/>
  <c r="U24" i="7"/>
  <c r="U19" i="7"/>
  <c r="U17" i="7"/>
  <c r="U22" i="7"/>
  <c r="U20" i="7"/>
  <c r="U18" i="7"/>
  <c r="U16" i="7"/>
  <c r="U14" i="7"/>
  <c r="U12" i="7"/>
  <c r="U9" i="7"/>
  <c r="U15" i="7"/>
  <c r="U11" i="7"/>
  <c r="U10" i="7"/>
  <c r="U13" i="7"/>
  <c r="W8" i="7"/>
  <c r="V7" i="7"/>
  <c r="W8" i="6"/>
  <c r="V7" i="6"/>
  <c r="V8" i="5"/>
  <c r="U7" i="5"/>
  <c r="U8" i="2"/>
  <c r="T7" i="2"/>
  <c r="W8" i="4" l="1"/>
  <c r="V7" i="4"/>
  <c r="W8" i="14"/>
  <c r="V7" i="14"/>
  <c r="X8" i="13"/>
  <c r="W7" i="13"/>
  <c r="Y8" i="12"/>
  <c r="X7" i="12"/>
  <c r="X8" i="11"/>
  <c r="W7" i="11"/>
  <c r="X8" i="10"/>
  <c r="W7" i="10"/>
  <c r="X8" i="9"/>
  <c r="W7" i="9"/>
  <c r="W8" i="8"/>
  <c r="V7" i="8"/>
  <c r="X8" i="7"/>
  <c r="W7" i="7"/>
  <c r="X8" i="6"/>
  <c r="W7" i="6"/>
  <c r="W8" i="5"/>
  <c r="V7" i="5"/>
  <c r="V8" i="2"/>
  <c r="U7" i="2"/>
  <c r="X8" i="4" l="1"/>
  <c r="W7" i="4"/>
  <c r="X8" i="14"/>
  <c r="W7" i="14"/>
  <c r="Y8" i="13"/>
  <c r="X7" i="13"/>
  <c r="Z8" i="12"/>
  <c r="Y7" i="12"/>
  <c r="Y8" i="11"/>
  <c r="X7" i="11"/>
  <c r="Y8" i="10"/>
  <c r="X7" i="10"/>
  <c r="W28" i="9"/>
  <c r="W26" i="9"/>
  <c r="W24" i="9"/>
  <c r="W22" i="9"/>
  <c r="W25" i="9"/>
  <c r="W21" i="9"/>
  <c r="W19" i="9"/>
  <c r="W27" i="9"/>
  <c r="W23" i="9"/>
  <c r="W16" i="9"/>
  <c r="W14" i="9"/>
  <c r="W20" i="9"/>
  <c r="W18" i="9"/>
  <c r="W17" i="9"/>
  <c r="W15" i="9"/>
  <c r="W13" i="9"/>
  <c r="W11" i="9"/>
  <c r="W10" i="9"/>
  <c r="W9" i="9"/>
  <c r="W12" i="9"/>
  <c r="Y8" i="9"/>
  <c r="X7" i="9"/>
  <c r="X8" i="8"/>
  <c r="W7" i="8"/>
  <c r="Y8" i="7"/>
  <c r="X7" i="7"/>
  <c r="W28" i="6"/>
  <c r="W26" i="6"/>
  <c r="W24" i="6"/>
  <c r="W22" i="6"/>
  <c r="W25" i="6"/>
  <c r="W21" i="6"/>
  <c r="W19" i="6"/>
  <c r="W27" i="6"/>
  <c r="W23" i="6"/>
  <c r="W20" i="6"/>
  <c r="W18" i="6"/>
  <c r="W12" i="6"/>
  <c r="W9" i="6"/>
  <c r="W16" i="6"/>
  <c r="W14" i="6"/>
  <c r="W11" i="6"/>
  <c r="W17" i="6"/>
  <c r="W10" i="6"/>
  <c r="W15" i="6"/>
  <c r="W13" i="6"/>
  <c r="Y8" i="6"/>
  <c r="X7" i="6"/>
  <c r="X8" i="5"/>
  <c r="W7" i="5"/>
  <c r="W8" i="2"/>
  <c r="V7" i="2"/>
  <c r="V23" i="2" s="1"/>
  <c r="Y8" i="4" l="1"/>
  <c r="X7" i="4"/>
  <c r="Y8" i="14"/>
  <c r="X7" i="14"/>
  <c r="Z8" i="13"/>
  <c r="Y7" i="13"/>
  <c r="AA8" i="12"/>
  <c r="Z7" i="12"/>
  <c r="X27" i="11"/>
  <c r="X25" i="11"/>
  <c r="X23" i="11"/>
  <c r="X21" i="11"/>
  <c r="X24" i="11"/>
  <c r="X22" i="11"/>
  <c r="X19" i="11"/>
  <c r="X17" i="11"/>
  <c r="X28" i="11"/>
  <c r="X20" i="11"/>
  <c r="X18" i="11"/>
  <c r="X16" i="11"/>
  <c r="X10" i="11"/>
  <c r="X13" i="11"/>
  <c r="X14" i="11"/>
  <c r="X11" i="11"/>
  <c r="X26" i="11"/>
  <c r="X15" i="11"/>
  <c r="X12" i="11"/>
  <c r="X9" i="11"/>
  <c r="Z8" i="11"/>
  <c r="Y7" i="11"/>
  <c r="Z8" i="10"/>
  <c r="Y7" i="10"/>
  <c r="Z8" i="9"/>
  <c r="Y7" i="9"/>
  <c r="Y8" i="8"/>
  <c r="X7" i="8"/>
  <c r="Y7" i="7"/>
  <c r="Z8" i="7"/>
  <c r="Z8" i="6"/>
  <c r="Y7" i="6"/>
  <c r="Y8" i="5"/>
  <c r="X7" i="5"/>
  <c r="V13" i="2"/>
  <c r="V17" i="2"/>
  <c r="V12" i="2"/>
  <c r="V16" i="2"/>
  <c r="V20" i="2"/>
  <c r="V11" i="2"/>
  <c r="V15" i="2"/>
  <c r="V19" i="2"/>
  <c r="V18" i="2"/>
  <c r="V24" i="2"/>
  <c r="V28" i="2"/>
  <c r="V14" i="2"/>
  <c r="V27" i="2"/>
  <c r="V10" i="2"/>
  <c r="V22" i="2"/>
  <c r="V21" i="2"/>
  <c r="V26" i="2"/>
  <c r="V25" i="2"/>
  <c r="V9" i="2"/>
  <c r="X8" i="2"/>
  <c r="W7" i="2"/>
  <c r="Z8" i="4" l="1"/>
  <c r="Y7" i="4"/>
  <c r="X27" i="14"/>
  <c r="X25" i="14"/>
  <c r="X23" i="14"/>
  <c r="X24" i="14"/>
  <c r="X19" i="14"/>
  <c r="X17" i="14"/>
  <c r="X15" i="14"/>
  <c r="X22" i="14"/>
  <c r="X21" i="14"/>
  <c r="X28" i="14"/>
  <c r="X20" i="14"/>
  <c r="X18" i="14"/>
  <c r="X16" i="14"/>
  <c r="X14" i="14"/>
  <c r="X13" i="14"/>
  <c r="X9" i="14"/>
  <c r="X10" i="14"/>
  <c r="X26" i="14"/>
  <c r="X11" i="14"/>
  <c r="X12" i="14"/>
  <c r="Z8" i="14"/>
  <c r="Y7" i="14"/>
  <c r="AA8" i="13"/>
  <c r="Z7" i="13"/>
  <c r="AA7" i="12"/>
  <c r="AB8" i="12"/>
  <c r="Z7" i="11"/>
  <c r="AA8" i="11"/>
  <c r="AA8" i="10"/>
  <c r="Z7" i="10"/>
  <c r="AA8" i="9"/>
  <c r="Z7" i="9"/>
  <c r="Z8" i="8"/>
  <c r="Y7" i="8"/>
  <c r="AA8" i="7"/>
  <c r="Z7" i="7"/>
  <c r="AA8" i="6"/>
  <c r="Z7" i="6"/>
  <c r="Z8" i="5"/>
  <c r="Y7" i="5"/>
  <c r="Y8" i="2"/>
  <c r="X7" i="2"/>
  <c r="Z7" i="4" l="1"/>
  <c r="AA8" i="4"/>
  <c r="AA8" i="14"/>
  <c r="Z7" i="14"/>
  <c r="Z28" i="13"/>
  <c r="Z26" i="13"/>
  <c r="Z25" i="13"/>
  <c r="Z27" i="13"/>
  <c r="Z22" i="13"/>
  <c r="Z21" i="13"/>
  <c r="Z24" i="13"/>
  <c r="Z23" i="13"/>
  <c r="Z20" i="13"/>
  <c r="Z19" i="13"/>
  <c r="Z18" i="13"/>
  <c r="Z16" i="13"/>
  <c r="Z14" i="13"/>
  <c r="Z15" i="13"/>
  <c r="Z9" i="13"/>
  <c r="Z11" i="13"/>
  <c r="Z17" i="13"/>
  <c r="Z10" i="13"/>
  <c r="Z13" i="13"/>
  <c r="Z12" i="13"/>
  <c r="AB8" i="13"/>
  <c r="AA7" i="13"/>
  <c r="AC8" i="12"/>
  <c r="AB7" i="12"/>
  <c r="AB8" i="11"/>
  <c r="AA7" i="11"/>
  <c r="AB8" i="10"/>
  <c r="AA7" i="10"/>
  <c r="AB8" i="9"/>
  <c r="AA7" i="9"/>
  <c r="Y27" i="8"/>
  <c r="Y25" i="8"/>
  <c r="Y23" i="8"/>
  <c r="Y21" i="8"/>
  <c r="Y28" i="8"/>
  <c r="Y26" i="8"/>
  <c r="Y24" i="8"/>
  <c r="Y22" i="8"/>
  <c r="Y20" i="8"/>
  <c r="Y18" i="8"/>
  <c r="Y16" i="8"/>
  <c r="Y14" i="8"/>
  <c r="Y19" i="8"/>
  <c r="Y17" i="8"/>
  <c r="Y15" i="8"/>
  <c r="Y12" i="8"/>
  <c r="Y9" i="8"/>
  <c r="Y11" i="8"/>
  <c r="Y10" i="8"/>
  <c r="Y13" i="8"/>
  <c r="AA8" i="8"/>
  <c r="Z7" i="8"/>
  <c r="AB8" i="7"/>
  <c r="AA7" i="7"/>
  <c r="AB8" i="6"/>
  <c r="AA7" i="6"/>
  <c r="AA8" i="5"/>
  <c r="Z7" i="5"/>
  <c r="Z8" i="2"/>
  <c r="Y7" i="2"/>
  <c r="AB8" i="4" l="1"/>
  <c r="AA7" i="4"/>
  <c r="Z22" i="4"/>
  <c r="Z12" i="4"/>
  <c r="Z28" i="4"/>
  <c r="Z27" i="4"/>
  <c r="Z16" i="4"/>
  <c r="Z10" i="4"/>
  <c r="Z9" i="4"/>
  <c r="Z17" i="4"/>
  <c r="Z13" i="4"/>
  <c r="Z26" i="4"/>
  <c r="Z21" i="4"/>
  <c r="Z25" i="4"/>
  <c r="Z19" i="4"/>
  <c r="Z14" i="4"/>
  <c r="Z24" i="4"/>
  <c r="Z20" i="4"/>
  <c r="Z23" i="4"/>
  <c r="Z15" i="4"/>
  <c r="Z11" i="4"/>
  <c r="Z18" i="4"/>
  <c r="AB8" i="14"/>
  <c r="AA7" i="14"/>
  <c r="AC8" i="13"/>
  <c r="AB7" i="13"/>
  <c r="AD8" i="12"/>
  <c r="AC7" i="12"/>
  <c r="AC8" i="11"/>
  <c r="AB7" i="11"/>
  <c r="AA28" i="10"/>
  <c r="AA26" i="10"/>
  <c r="AA24" i="10"/>
  <c r="AA22" i="10"/>
  <c r="AA27" i="10"/>
  <c r="AA25" i="10"/>
  <c r="AA23" i="10"/>
  <c r="AA21" i="10"/>
  <c r="AA19" i="10"/>
  <c r="AA17" i="10"/>
  <c r="AA20" i="10"/>
  <c r="AA18" i="10"/>
  <c r="AA16" i="10"/>
  <c r="AA12" i="10"/>
  <c r="AA14" i="10"/>
  <c r="AA11" i="10"/>
  <c r="AA10" i="10"/>
  <c r="AA15" i="10"/>
  <c r="AA13" i="10"/>
  <c r="AA9" i="10"/>
  <c r="AC8" i="10"/>
  <c r="AB7" i="10"/>
  <c r="AC8" i="9"/>
  <c r="AB7" i="9"/>
  <c r="AB8" i="8"/>
  <c r="AA7" i="8"/>
  <c r="AC8" i="7"/>
  <c r="AB7" i="7"/>
  <c r="AC8" i="6"/>
  <c r="AB7" i="6"/>
  <c r="AA7" i="5"/>
  <c r="AB8" i="5"/>
  <c r="AA8" i="2"/>
  <c r="Z7" i="2"/>
  <c r="AB7" i="4" l="1"/>
  <c r="AC8" i="4"/>
  <c r="AC8" i="14"/>
  <c r="AB7" i="14"/>
  <c r="AD8" i="13"/>
  <c r="AC7" i="13"/>
  <c r="AC27" i="12"/>
  <c r="AC25" i="12"/>
  <c r="AC23" i="12"/>
  <c r="AC21" i="12"/>
  <c r="AC22" i="12"/>
  <c r="AC20" i="12"/>
  <c r="AC24" i="12"/>
  <c r="AC28" i="12"/>
  <c r="AC26" i="12"/>
  <c r="AC19" i="12"/>
  <c r="AC17" i="12"/>
  <c r="AC15" i="12"/>
  <c r="AC13" i="12"/>
  <c r="AC14" i="12"/>
  <c r="AC10" i="12"/>
  <c r="AC18" i="12"/>
  <c r="AC12" i="12"/>
  <c r="AC9" i="12"/>
  <c r="AC16" i="12"/>
  <c r="AC11" i="12"/>
  <c r="AE8" i="12"/>
  <c r="AD7" i="12"/>
  <c r="AD8" i="11"/>
  <c r="AC7" i="11"/>
  <c r="AD8" i="10"/>
  <c r="AC7" i="10"/>
  <c r="AD8" i="9"/>
  <c r="AC7" i="9"/>
  <c r="AC8" i="8"/>
  <c r="AB7" i="8"/>
  <c r="AB27" i="7"/>
  <c r="AB25" i="7"/>
  <c r="AB23" i="7"/>
  <c r="AB21" i="7"/>
  <c r="AB28" i="7"/>
  <c r="AB19" i="7"/>
  <c r="AB17" i="7"/>
  <c r="AB15" i="7"/>
  <c r="AB26" i="7"/>
  <c r="AB16" i="7"/>
  <c r="AB13" i="7"/>
  <c r="AB24" i="7"/>
  <c r="AB22" i="7"/>
  <c r="AB12" i="7"/>
  <c r="AB9" i="7"/>
  <c r="AB20" i="7"/>
  <c r="AB11" i="7"/>
  <c r="AB18" i="7"/>
  <c r="AB14" i="7"/>
  <c r="AB10" i="7"/>
  <c r="AD8" i="7"/>
  <c r="AC7" i="7"/>
  <c r="AD8" i="6"/>
  <c r="AC7" i="6"/>
  <c r="AC8" i="5"/>
  <c r="AB7" i="5"/>
  <c r="AB8" i="2"/>
  <c r="AA7" i="2"/>
  <c r="AC7" i="4" l="1"/>
  <c r="AD8" i="4"/>
  <c r="AD8" i="14"/>
  <c r="AC7" i="14"/>
  <c r="AE8" i="13"/>
  <c r="AD7" i="13"/>
  <c r="AE7" i="12"/>
  <c r="AF8" i="12"/>
  <c r="AE8" i="11"/>
  <c r="AD7" i="11"/>
  <c r="AE8" i="10"/>
  <c r="AD7" i="10"/>
  <c r="AE8" i="9"/>
  <c r="AD7" i="9"/>
  <c r="AD8" i="8"/>
  <c r="AC7" i="8"/>
  <c r="AE8" i="7"/>
  <c r="AD7" i="7"/>
  <c r="AE8" i="6"/>
  <c r="AD7" i="6"/>
  <c r="AD8" i="5"/>
  <c r="AC7" i="5"/>
  <c r="AC8" i="2"/>
  <c r="AB7" i="2"/>
  <c r="AE8" i="4" l="1"/>
  <c r="AD7" i="4"/>
  <c r="AE8" i="14"/>
  <c r="AD7" i="14"/>
  <c r="AF8" i="13"/>
  <c r="AE7" i="13"/>
  <c r="AG8" i="12"/>
  <c r="AF7" i="12"/>
  <c r="AF8" i="11"/>
  <c r="AE7" i="11"/>
  <c r="AF8" i="10"/>
  <c r="AE7" i="10"/>
  <c r="AD28" i="9"/>
  <c r="AD26" i="9"/>
  <c r="AD24" i="9"/>
  <c r="AD22" i="9"/>
  <c r="AD21" i="9"/>
  <c r="AD20" i="9"/>
  <c r="AD18" i="9"/>
  <c r="AD25" i="9"/>
  <c r="AD19" i="9"/>
  <c r="AD17" i="9"/>
  <c r="AD23" i="9"/>
  <c r="AD12" i="9"/>
  <c r="AD16" i="9"/>
  <c r="AD14" i="9"/>
  <c r="AD11" i="9"/>
  <c r="AD9" i="9"/>
  <c r="AD27" i="9"/>
  <c r="AD15" i="9"/>
  <c r="AD13" i="9"/>
  <c r="AD10" i="9"/>
  <c r="AF8" i="9"/>
  <c r="AE7" i="9"/>
  <c r="AE8" i="8"/>
  <c r="AD7" i="8"/>
  <c r="AF8" i="7"/>
  <c r="AE7" i="7"/>
  <c r="AD28" i="6"/>
  <c r="AD26" i="6"/>
  <c r="AD24" i="6"/>
  <c r="AD22" i="6"/>
  <c r="AD25" i="6"/>
  <c r="AD21" i="6"/>
  <c r="AD19" i="6"/>
  <c r="AD17" i="6"/>
  <c r="AD23" i="6"/>
  <c r="AD15" i="6"/>
  <c r="AD13" i="6"/>
  <c r="AD12" i="6"/>
  <c r="AD9" i="6"/>
  <c r="AD20" i="6"/>
  <c r="AD16" i="6"/>
  <c r="AD14" i="6"/>
  <c r="AD11" i="6"/>
  <c r="AD27" i="6"/>
  <c r="AD18" i="6"/>
  <c r="AD10" i="6"/>
  <c r="AE7" i="6"/>
  <c r="AF8" i="6"/>
  <c r="AE8" i="5"/>
  <c r="AD7" i="5"/>
  <c r="AD8" i="2"/>
  <c r="AC7" i="2"/>
  <c r="AF8" i="4" l="1"/>
  <c r="AE7" i="4"/>
  <c r="AF8" i="14"/>
  <c r="AE7" i="14"/>
  <c r="AG8" i="13"/>
  <c r="AF7" i="13"/>
  <c r="AH8" i="12"/>
  <c r="AG7" i="12"/>
  <c r="AE28" i="11"/>
  <c r="AE26" i="11"/>
  <c r="AE24" i="11"/>
  <c r="AE22" i="11"/>
  <c r="AE27" i="11"/>
  <c r="AE25" i="11"/>
  <c r="AE23" i="11"/>
  <c r="AE21" i="11"/>
  <c r="AE19" i="11"/>
  <c r="AE16" i="11"/>
  <c r="AE14" i="11"/>
  <c r="AE11" i="11"/>
  <c r="AE20" i="11"/>
  <c r="AE15" i="11"/>
  <c r="AE10" i="11"/>
  <c r="AE12" i="11"/>
  <c r="AE18" i="11"/>
  <c r="AE13" i="11"/>
  <c r="AE17" i="11"/>
  <c r="AE9" i="11"/>
  <c r="AG8" i="11"/>
  <c r="AF7" i="11"/>
  <c r="AG8" i="10"/>
  <c r="AF7" i="10"/>
  <c r="AG8" i="9"/>
  <c r="AF7" i="9"/>
  <c r="AF8" i="8"/>
  <c r="AE7" i="8"/>
  <c r="AG8" i="7"/>
  <c r="AF7" i="7"/>
  <c r="AG8" i="6"/>
  <c r="AF7" i="6"/>
  <c r="AF8" i="5"/>
  <c r="AE7" i="5"/>
  <c r="AC12" i="2"/>
  <c r="AC16" i="2"/>
  <c r="AC20" i="2"/>
  <c r="AC11" i="2"/>
  <c r="AC15" i="2"/>
  <c r="AC19" i="2"/>
  <c r="AC10" i="2"/>
  <c r="AC14" i="2"/>
  <c r="AC18" i="2"/>
  <c r="AC23" i="2"/>
  <c r="AC27" i="2"/>
  <c r="AC22" i="2"/>
  <c r="AC26" i="2"/>
  <c r="AC17" i="2"/>
  <c r="AC21" i="2"/>
  <c r="AC25" i="2"/>
  <c r="AC24" i="2"/>
  <c r="AC13" i="2"/>
  <c r="AC28" i="2"/>
  <c r="AC9" i="2"/>
  <c r="AE8" i="2"/>
  <c r="AD7" i="2"/>
  <c r="AG8" i="4" l="1"/>
  <c r="AF7" i="4"/>
  <c r="AE28" i="14"/>
  <c r="AE26" i="14"/>
  <c r="AE24" i="14"/>
  <c r="AE22" i="14"/>
  <c r="AE27" i="14"/>
  <c r="AE25" i="14"/>
  <c r="AE23" i="14"/>
  <c r="AE21" i="14"/>
  <c r="AE19" i="14"/>
  <c r="AE17" i="14"/>
  <c r="AE16" i="14"/>
  <c r="AE14" i="14"/>
  <c r="AE10" i="14"/>
  <c r="AE20" i="14"/>
  <c r="AE18" i="14"/>
  <c r="AE11" i="14"/>
  <c r="AE15" i="14"/>
  <c r="AE12" i="14"/>
  <c r="AE9" i="14"/>
  <c r="AE13" i="14"/>
  <c r="AG8" i="14"/>
  <c r="AF7" i="14"/>
  <c r="AH8" i="13"/>
  <c r="AG7" i="13"/>
  <c r="AI8" i="12"/>
  <c r="AH7" i="12"/>
  <c r="AH8" i="11"/>
  <c r="AG7" i="11"/>
  <c r="AH8" i="10"/>
  <c r="AG7" i="10"/>
  <c r="AH8" i="9"/>
  <c r="AG7" i="9"/>
  <c r="AG8" i="8"/>
  <c r="AF7" i="8"/>
  <c r="AG7" i="7"/>
  <c r="AH8" i="7"/>
  <c r="AH8" i="6"/>
  <c r="AG7" i="6"/>
  <c r="AG8" i="5"/>
  <c r="AF7" i="5"/>
  <c r="AF8" i="2"/>
  <c r="AE7" i="2"/>
  <c r="AH8" i="4" l="1"/>
  <c r="AG7" i="4"/>
  <c r="AG7" i="14"/>
  <c r="AH8" i="14"/>
  <c r="AG27" i="13"/>
  <c r="AG25" i="13"/>
  <c r="AG23" i="13"/>
  <c r="AG21" i="13"/>
  <c r="AG28" i="13"/>
  <c r="AG20" i="13"/>
  <c r="AG22" i="13"/>
  <c r="AG24" i="13"/>
  <c r="AG19" i="13"/>
  <c r="AG17" i="13"/>
  <c r="AG15" i="13"/>
  <c r="AG18" i="13"/>
  <c r="AG16" i="13"/>
  <c r="AG14" i="13"/>
  <c r="AG13" i="13"/>
  <c r="AG9" i="13"/>
  <c r="AG10" i="13"/>
  <c r="AG12" i="13"/>
  <c r="AG11" i="13"/>
  <c r="AG26" i="13"/>
  <c r="AI8" i="13"/>
  <c r="AH7" i="13"/>
  <c r="AI7" i="12"/>
  <c r="AJ8" i="12"/>
  <c r="AH7" i="11"/>
  <c r="AI8" i="11"/>
  <c r="AI8" i="10"/>
  <c r="AH7" i="10"/>
  <c r="AI8" i="9"/>
  <c r="AH7" i="9"/>
  <c r="AF27" i="8"/>
  <c r="AF25" i="8"/>
  <c r="AF23" i="8"/>
  <c r="AF28" i="8"/>
  <c r="AF21" i="8"/>
  <c r="AF26" i="8"/>
  <c r="AF20" i="8"/>
  <c r="AF18" i="8"/>
  <c r="AF16" i="8"/>
  <c r="AF24" i="8"/>
  <c r="AF22" i="8"/>
  <c r="AF13" i="8"/>
  <c r="AF9" i="8"/>
  <c r="AF19" i="8"/>
  <c r="AF12" i="8"/>
  <c r="AF10" i="8"/>
  <c r="AF17" i="8"/>
  <c r="AF11" i="8"/>
  <c r="AF15" i="8"/>
  <c r="AF14" i="8"/>
  <c r="AH8" i="8"/>
  <c r="AG7" i="8"/>
  <c r="AI8" i="7"/>
  <c r="AH7" i="7"/>
  <c r="AI8" i="6"/>
  <c r="AH7" i="6"/>
  <c r="AH8" i="5"/>
  <c r="AG7" i="5"/>
  <c r="AG8" i="2"/>
  <c r="AF7" i="2"/>
  <c r="AG23" i="4" l="1"/>
  <c r="AG24" i="4"/>
  <c r="AG16" i="4"/>
  <c r="AG9" i="4"/>
  <c r="AG11" i="4"/>
  <c r="AG27" i="4"/>
  <c r="AG28" i="4"/>
  <c r="AG20" i="4"/>
  <c r="AG17" i="4"/>
  <c r="AG15" i="4"/>
  <c r="AG21" i="4"/>
  <c r="AG19" i="4"/>
  <c r="AG25" i="4"/>
  <c r="AG26" i="4"/>
  <c r="AG18" i="4"/>
  <c r="AG14" i="4"/>
  <c r="AG12" i="4"/>
  <c r="AG10" i="4"/>
  <c r="AG22" i="4"/>
  <c r="AG13" i="4"/>
  <c r="AH7" i="4"/>
  <c r="AI8" i="4"/>
  <c r="AI8" i="14"/>
  <c r="AH7" i="14"/>
  <c r="AJ8" i="13"/>
  <c r="AI7" i="13"/>
  <c r="AK8" i="12"/>
  <c r="AJ7" i="12"/>
  <c r="AJ8" i="11"/>
  <c r="AI7" i="11"/>
  <c r="AH28" i="10"/>
  <c r="AH26" i="10"/>
  <c r="AH24" i="10"/>
  <c r="AH22" i="10"/>
  <c r="AH23" i="10"/>
  <c r="AH19" i="10"/>
  <c r="AH17" i="10"/>
  <c r="AH15" i="10"/>
  <c r="AH27" i="10"/>
  <c r="AH25" i="10"/>
  <c r="AH13" i="10"/>
  <c r="AH12" i="10"/>
  <c r="AH9" i="10"/>
  <c r="AH20" i="10"/>
  <c r="AH16" i="10"/>
  <c r="AH14" i="10"/>
  <c r="AH11" i="10"/>
  <c r="AH21" i="10"/>
  <c r="AH18" i="10"/>
  <c r="AH10" i="10"/>
  <c r="AJ8" i="10"/>
  <c r="AI7" i="10"/>
  <c r="AJ8" i="9"/>
  <c r="AI7" i="9"/>
  <c r="AI8" i="8"/>
  <c r="AH7" i="8"/>
  <c r="AJ8" i="7"/>
  <c r="AI7" i="7"/>
  <c r="AJ8" i="6"/>
  <c r="AI7" i="6"/>
  <c r="AI8" i="5"/>
  <c r="AH7" i="5"/>
  <c r="AH8" i="2"/>
  <c r="AG7" i="2"/>
  <c r="AJ8" i="4" l="1"/>
  <c r="AI7" i="4"/>
  <c r="AI7" i="14"/>
  <c r="AJ8" i="14"/>
  <c r="AK8" i="13"/>
  <c r="AJ7" i="13"/>
  <c r="AJ25" i="12"/>
  <c r="AJ24" i="12"/>
  <c r="AJ27" i="12"/>
  <c r="AJ26" i="12"/>
  <c r="AJ20" i="12"/>
  <c r="AJ18" i="12"/>
  <c r="AJ21" i="12"/>
  <c r="AJ16" i="12"/>
  <c r="AJ14" i="12"/>
  <c r="AJ28" i="12"/>
  <c r="AJ19" i="12"/>
  <c r="AJ23" i="12"/>
  <c r="AJ22" i="12"/>
  <c r="AJ17" i="12"/>
  <c r="AJ15" i="12"/>
  <c r="AJ13" i="12"/>
  <c r="AJ11" i="12"/>
  <c r="AJ12" i="12"/>
  <c r="AJ10" i="12"/>
  <c r="AJ9" i="12"/>
  <c r="AL8" i="12"/>
  <c r="AK7" i="12"/>
  <c r="AK8" i="11"/>
  <c r="AJ7" i="11"/>
  <c r="AK8" i="10"/>
  <c r="AJ7" i="10"/>
  <c r="AK8" i="9"/>
  <c r="AJ7" i="9"/>
  <c r="AJ8" i="8"/>
  <c r="AI7" i="8"/>
  <c r="AI28" i="7"/>
  <c r="AI26" i="7"/>
  <c r="AI24" i="7"/>
  <c r="AI22" i="7"/>
  <c r="AI27" i="7"/>
  <c r="AI25" i="7"/>
  <c r="AI23" i="7"/>
  <c r="AI21" i="7"/>
  <c r="AI20" i="7"/>
  <c r="AI18" i="7"/>
  <c r="AI16" i="7"/>
  <c r="AI19" i="7"/>
  <c r="AI17" i="7"/>
  <c r="AI15" i="7"/>
  <c r="AI10" i="7"/>
  <c r="AI13" i="7"/>
  <c r="AI14" i="7"/>
  <c r="AI12" i="7"/>
  <c r="AI9" i="7"/>
  <c r="AI11" i="7"/>
  <c r="AK8" i="7"/>
  <c r="AJ7" i="7"/>
  <c r="AK8" i="6"/>
  <c r="AJ7" i="6"/>
  <c r="AJ8" i="5"/>
  <c r="AI7" i="5"/>
  <c r="AI8" i="2"/>
  <c r="AH7" i="2"/>
  <c r="AJ7" i="4" l="1"/>
  <c r="AK8" i="4"/>
  <c r="AK8" i="14"/>
  <c r="AJ7" i="14"/>
  <c r="AL8" i="13"/>
  <c r="AK7" i="13"/>
  <c r="AM8" i="12"/>
  <c r="AL7" i="12"/>
  <c r="AL8" i="11"/>
  <c r="AK7" i="11"/>
  <c r="AL8" i="10"/>
  <c r="AK7" i="10"/>
  <c r="AL8" i="9"/>
  <c r="AK7" i="9"/>
  <c r="AK8" i="8"/>
  <c r="AJ7" i="8"/>
  <c r="AL8" i="7"/>
  <c r="AK7" i="7"/>
  <c r="AL8" i="6"/>
  <c r="AK7" i="6"/>
  <c r="AK8" i="5"/>
  <c r="AJ7" i="5"/>
  <c r="AJ8" i="2"/>
  <c r="AI7" i="2"/>
  <c r="AK7" i="4" l="1"/>
  <c r="AL8" i="4"/>
  <c r="AK7" i="14"/>
  <c r="AL8" i="14"/>
  <c r="AM8" i="13"/>
  <c r="AL7" i="13"/>
  <c r="AM7" i="12"/>
  <c r="AN8" i="12"/>
  <c r="AL7" i="11"/>
  <c r="AM8" i="11"/>
  <c r="AM8" i="10"/>
  <c r="AL7" i="10"/>
  <c r="AK27" i="9"/>
  <c r="AK25" i="9"/>
  <c r="AK23" i="9"/>
  <c r="AK21" i="9"/>
  <c r="AK26" i="9"/>
  <c r="AK20" i="9"/>
  <c r="AK18" i="9"/>
  <c r="AK28" i="9"/>
  <c r="AK24" i="9"/>
  <c r="AK19" i="9"/>
  <c r="AK15" i="9"/>
  <c r="AK13" i="9"/>
  <c r="AK22" i="9"/>
  <c r="AK12" i="9"/>
  <c r="AK17" i="9"/>
  <c r="AK16" i="9"/>
  <c r="AK14" i="9"/>
  <c r="AK11" i="9"/>
  <c r="AK9" i="9"/>
  <c r="AK10" i="9"/>
  <c r="AM8" i="9"/>
  <c r="AL7" i="9"/>
  <c r="AL8" i="8"/>
  <c r="AK7" i="8"/>
  <c r="AM8" i="7"/>
  <c r="AL7" i="7"/>
  <c r="AK27" i="6"/>
  <c r="AK25" i="6"/>
  <c r="AK23" i="6"/>
  <c r="AK21" i="6"/>
  <c r="AK26" i="6"/>
  <c r="AK22" i="6"/>
  <c r="AK20" i="6"/>
  <c r="AK18" i="6"/>
  <c r="AK28" i="6"/>
  <c r="AK24" i="6"/>
  <c r="AK19" i="6"/>
  <c r="AK17" i="6"/>
  <c r="AK10" i="6"/>
  <c r="AK15" i="6"/>
  <c r="AK13" i="6"/>
  <c r="AK12" i="6"/>
  <c r="AK9" i="6"/>
  <c r="AK16" i="6"/>
  <c r="AK14" i="6"/>
  <c r="AK11" i="6"/>
  <c r="AM8" i="6"/>
  <c r="AL7" i="6"/>
  <c r="AL8" i="5"/>
  <c r="AK7" i="5"/>
  <c r="AK8" i="2"/>
  <c r="AJ7" i="2"/>
  <c r="AL7" i="4" l="1"/>
  <c r="AM8" i="4"/>
  <c r="AM8" i="14"/>
  <c r="AL7" i="14"/>
  <c r="AN8" i="13"/>
  <c r="AM7" i="13"/>
  <c r="AO8" i="12"/>
  <c r="AO7" i="12" s="1"/>
  <c r="AN7" i="12"/>
  <c r="AN8" i="11"/>
  <c r="AM7" i="11"/>
  <c r="AL28" i="11"/>
  <c r="AL26" i="11"/>
  <c r="AL24" i="11"/>
  <c r="AL22" i="11"/>
  <c r="AL20" i="11"/>
  <c r="AL18" i="11"/>
  <c r="AL16" i="11"/>
  <c r="AL27" i="11"/>
  <c r="AL25" i="11"/>
  <c r="AL21" i="11"/>
  <c r="AL19" i="11"/>
  <c r="AL17" i="11"/>
  <c r="AL15" i="11"/>
  <c r="AL12" i="11"/>
  <c r="AL9" i="11"/>
  <c r="AL23" i="11"/>
  <c r="AL14" i="11"/>
  <c r="AL11" i="11"/>
  <c r="AL10" i="11"/>
  <c r="AL13" i="11"/>
  <c r="AN8" i="10"/>
  <c r="AM7" i="10"/>
  <c r="AN8" i="9"/>
  <c r="AM7" i="9"/>
  <c r="AM8" i="8"/>
  <c r="AL7" i="8"/>
  <c r="AN8" i="7"/>
  <c r="AM7" i="7"/>
  <c r="AN8" i="6"/>
  <c r="AM7" i="6"/>
  <c r="AM8" i="5"/>
  <c r="AL7" i="5"/>
  <c r="AJ11" i="2"/>
  <c r="AJ15" i="2"/>
  <c r="AJ19" i="2"/>
  <c r="AJ10" i="2"/>
  <c r="AJ14" i="2"/>
  <c r="AJ18" i="2"/>
  <c r="AJ13" i="2"/>
  <c r="AJ17" i="2"/>
  <c r="AJ16" i="2"/>
  <c r="AJ20" i="2"/>
  <c r="AJ22" i="2"/>
  <c r="AJ26" i="2"/>
  <c r="AJ12" i="2"/>
  <c r="AJ21" i="2"/>
  <c r="AJ25" i="2"/>
  <c r="AJ28" i="2"/>
  <c r="AJ27" i="2"/>
  <c r="AJ9" i="2"/>
  <c r="AJ24" i="2"/>
  <c r="AJ23" i="2"/>
  <c r="AL8" i="2"/>
  <c r="AK7" i="2"/>
  <c r="AN8" i="4" l="1"/>
  <c r="AM7" i="4"/>
  <c r="AL28" i="14"/>
  <c r="AL26" i="14"/>
  <c r="AL24" i="14"/>
  <c r="AL22" i="14"/>
  <c r="AL20" i="14"/>
  <c r="AL18" i="14"/>
  <c r="AL16" i="14"/>
  <c r="AL27" i="14"/>
  <c r="AL25" i="14"/>
  <c r="AL21" i="14"/>
  <c r="AL19" i="14"/>
  <c r="AL17" i="14"/>
  <c r="AL15" i="14"/>
  <c r="AL13" i="14"/>
  <c r="AL23" i="14"/>
  <c r="AL11" i="14"/>
  <c r="AL12" i="14"/>
  <c r="AL10" i="14"/>
  <c r="AL9" i="14"/>
  <c r="AL14" i="14"/>
  <c r="AN8" i="14"/>
  <c r="AM7" i="14"/>
  <c r="AO8" i="13"/>
  <c r="AO7" i="13" s="1"/>
  <c r="AN7" i="13"/>
  <c r="J19" i="12"/>
  <c r="J10" i="12"/>
  <c r="J14" i="12"/>
  <c r="J24" i="12"/>
  <c r="J21" i="12"/>
  <c r="J9" i="12"/>
  <c r="J26" i="12"/>
  <c r="J28" i="12"/>
  <c r="J27" i="12"/>
  <c r="J18" i="12"/>
  <c r="J12" i="12"/>
  <c r="J20" i="12"/>
  <c r="J15" i="12"/>
  <c r="J23" i="12"/>
  <c r="J17" i="12"/>
  <c r="J22" i="12"/>
  <c r="J16" i="12"/>
  <c r="J25" i="12"/>
  <c r="J13" i="12"/>
  <c r="J11" i="12"/>
  <c r="AO8" i="11"/>
  <c r="AO7" i="11" s="1"/>
  <c r="AN7" i="11"/>
  <c r="AO8" i="10"/>
  <c r="AO7" i="10" s="1"/>
  <c r="AN7" i="10"/>
  <c r="AO8" i="9"/>
  <c r="AO7" i="9" s="1"/>
  <c r="AN7" i="9"/>
  <c r="AN8" i="8"/>
  <c r="AM7" i="8"/>
  <c r="AO8" i="7"/>
  <c r="AO7" i="7" s="1"/>
  <c r="AN7" i="7"/>
  <c r="AO8" i="6"/>
  <c r="AO7" i="6" s="1"/>
  <c r="AN7" i="6"/>
  <c r="AM7" i="5"/>
  <c r="AN8" i="5"/>
  <c r="AM8" i="2"/>
  <c r="AL7" i="2"/>
  <c r="AO8" i="4" l="1"/>
  <c r="AO7" i="4" s="1"/>
  <c r="AN7" i="4"/>
  <c r="J20" i="4" s="1"/>
  <c r="AO8" i="14"/>
  <c r="AO7" i="14" s="1"/>
  <c r="AN7" i="14"/>
  <c r="AN23" i="13"/>
  <c r="AN22" i="13"/>
  <c r="AN28" i="13"/>
  <c r="AN25" i="13"/>
  <c r="AN24" i="13"/>
  <c r="AN20" i="13"/>
  <c r="AN27" i="13"/>
  <c r="AN26" i="13"/>
  <c r="AN21" i="13"/>
  <c r="AN18" i="13"/>
  <c r="AN17" i="13"/>
  <c r="AN15" i="13"/>
  <c r="AN13" i="13"/>
  <c r="AN19" i="13"/>
  <c r="AN12" i="13"/>
  <c r="AN10" i="13"/>
  <c r="AN14" i="13"/>
  <c r="AN16" i="13"/>
  <c r="AN9" i="13"/>
  <c r="AN11" i="13"/>
  <c r="J13" i="13"/>
  <c r="J21" i="13"/>
  <c r="J11" i="13"/>
  <c r="J22" i="13"/>
  <c r="J27" i="13"/>
  <c r="J17" i="13"/>
  <c r="J20" i="13"/>
  <c r="J24" i="13"/>
  <c r="J18" i="13"/>
  <c r="J14" i="13"/>
  <c r="J16" i="13"/>
  <c r="J28" i="13"/>
  <c r="J10" i="13"/>
  <c r="J9" i="13"/>
  <c r="J23" i="13"/>
  <c r="J12" i="13"/>
  <c r="J19" i="13"/>
  <c r="J15" i="13"/>
  <c r="J25" i="13"/>
  <c r="J26" i="13"/>
  <c r="AX16" i="12"/>
  <c r="AX26" i="12"/>
  <c r="AX9" i="12"/>
  <c r="AX18" i="12"/>
  <c r="AX17" i="12"/>
  <c r="AX20" i="12"/>
  <c r="AX23" i="12"/>
  <c r="AY28" i="12"/>
  <c r="AY24" i="12"/>
  <c r="AY23" i="12"/>
  <c r="AY26" i="12"/>
  <c r="AY25" i="12"/>
  <c r="AY19" i="12"/>
  <c r="AY22" i="12"/>
  <c r="AY21" i="12"/>
  <c r="AY20" i="12"/>
  <c r="AY17" i="12"/>
  <c r="AY15" i="12"/>
  <c r="AY13" i="12"/>
  <c r="AY27" i="12"/>
  <c r="AY18" i="12"/>
  <c r="AY12" i="12"/>
  <c r="AY16" i="12"/>
  <c r="AY14" i="12"/>
  <c r="AY10" i="12"/>
  <c r="AY9" i="12"/>
  <c r="AY11" i="12"/>
  <c r="AX14" i="12"/>
  <c r="AX12" i="12"/>
  <c r="AX22" i="12"/>
  <c r="AX24" i="12"/>
  <c r="AX25" i="12"/>
  <c r="AX11" i="12"/>
  <c r="AX15" i="12"/>
  <c r="AX21" i="12"/>
  <c r="AX10" i="12"/>
  <c r="AX13" i="12"/>
  <c r="AX19" i="12"/>
  <c r="AX28" i="12"/>
  <c r="AX27" i="12"/>
  <c r="J12" i="11"/>
  <c r="J21" i="11"/>
  <c r="J28" i="11"/>
  <c r="J19" i="11"/>
  <c r="J22" i="11"/>
  <c r="J13" i="11"/>
  <c r="J18" i="11"/>
  <c r="J10" i="11"/>
  <c r="J15" i="11"/>
  <c r="J20" i="11"/>
  <c r="J11" i="11"/>
  <c r="J27" i="11"/>
  <c r="J24" i="11"/>
  <c r="J16" i="11"/>
  <c r="J9" i="11"/>
  <c r="J14" i="11"/>
  <c r="J23" i="11"/>
  <c r="J25" i="11"/>
  <c r="J26" i="11"/>
  <c r="J17" i="11"/>
  <c r="AO27" i="10"/>
  <c r="AO25" i="10"/>
  <c r="AO23" i="10"/>
  <c r="AO21" i="10"/>
  <c r="AO28" i="10"/>
  <c r="AO26" i="10"/>
  <c r="AO24" i="10"/>
  <c r="AO22" i="10"/>
  <c r="AO20" i="10"/>
  <c r="AO18" i="10"/>
  <c r="AO19" i="10"/>
  <c r="AO17" i="10"/>
  <c r="AO15" i="10"/>
  <c r="AO13" i="10"/>
  <c r="AO12" i="10"/>
  <c r="AO16" i="10"/>
  <c r="AO14" i="10"/>
  <c r="AO11" i="10"/>
  <c r="AO9" i="10"/>
  <c r="AO10" i="10"/>
  <c r="J13" i="10"/>
  <c r="J23" i="10"/>
  <c r="J19" i="10"/>
  <c r="J21" i="10"/>
  <c r="J17" i="10"/>
  <c r="J24" i="10"/>
  <c r="J18" i="10"/>
  <c r="J20" i="10"/>
  <c r="J27" i="10"/>
  <c r="J11" i="10"/>
  <c r="J15" i="10"/>
  <c r="J16" i="10"/>
  <c r="J14" i="10"/>
  <c r="J28" i="10"/>
  <c r="J25" i="10"/>
  <c r="J12" i="10"/>
  <c r="J26" i="10"/>
  <c r="J10" i="10"/>
  <c r="J9" i="10"/>
  <c r="J22" i="10"/>
  <c r="J14" i="9"/>
  <c r="J24" i="9"/>
  <c r="J10" i="9"/>
  <c r="J18" i="9"/>
  <c r="J15" i="9"/>
  <c r="J28" i="9"/>
  <c r="J21" i="9"/>
  <c r="J20" i="9"/>
  <c r="J19" i="9"/>
  <c r="J22" i="9"/>
  <c r="J26" i="9"/>
  <c r="J12" i="9"/>
  <c r="J9" i="9"/>
  <c r="J16" i="9"/>
  <c r="J25" i="9"/>
  <c r="J13" i="9"/>
  <c r="J11" i="9"/>
  <c r="J23" i="9"/>
  <c r="J17" i="9"/>
  <c r="J27" i="9"/>
  <c r="AM28" i="8"/>
  <c r="AM26" i="8"/>
  <c r="AM24" i="8"/>
  <c r="AM22" i="8"/>
  <c r="AM27" i="8"/>
  <c r="AM25" i="8"/>
  <c r="AM23" i="8"/>
  <c r="AM21" i="8"/>
  <c r="AM19" i="8"/>
  <c r="AM17" i="8"/>
  <c r="AM15" i="8"/>
  <c r="AM20" i="8"/>
  <c r="AM18" i="8"/>
  <c r="AM16" i="8"/>
  <c r="AM14" i="8"/>
  <c r="AM10" i="8"/>
  <c r="AM13" i="8"/>
  <c r="AM11" i="8"/>
  <c r="AM12" i="8"/>
  <c r="AM9" i="8"/>
  <c r="AO8" i="8"/>
  <c r="AO7" i="8" s="1"/>
  <c r="AN7" i="8"/>
  <c r="J26" i="7"/>
  <c r="J17" i="7"/>
  <c r="J15" i="7"/>
  <c r="J12" i="7"/>
  <c r="J9" i="7"/>
  <c r="J28" i="7"/>
  <c r="J14" i="7"/>
  <c r="J24" i="7"/>
  <c r="J18" i="7"/>
  <c r="J10" i="7"/>
  <c r="J20" i="7"/>
  <c r="J11" i="7"/>
  <c r="J16" i="7"/>
  <c r="J22" i="7"/>
  <c r="J21" i="7"/>
  <c r="J27" i="7"/>
  <c r="J23" i="7"/>
  <c r="J19" i="7"/>
  <c r="J13" i="7"/>
  <c r="J25" i="7"/>
  <c r="J20" i="6"/>
  <c r="J27" i="6"/>
  <c r="J25" i="6"/>
  <c r="J26" i="6"/>
  <c r="J10" i="6"/>
  <c r="J13" i="6"/>
  <c r="J14" i="6"/>
  <c r="J19" i="6"/>
  <c r="J11" i="6"/>
  <c r="J22" i="6"/>
  <c r="J23" i="6"/>
  <c r="J28" i="6"/>
  <c r="J12" i="6"/>
  <c r="J24" i="6"/>
  <c r="J9" i="6"/>
  <c r="J15" i="6"/>
  <c r="J18" i="6"/>
  <c r="J17" i="6"/>
  <c r="J21" i="6"/>
  <c r="J16" i="6"/>
  <c r="AO8" i="5"/>
  <c r="AO7" i="5" s="1"/>
  <c r="AN7" i="5"/>
  <c r="AN8" i="2"/>
  <c r="AM7" i="2"/>
  <c r="J17" i="4" l="1"/>
  <c r="J16" i="4"/>
  <c r="J9" i="4"/>
  <c r="J22" i="4"/>
  <c r="J15" i="4"/>
  <c r="J10" i="4"/>
  <c r="J24" i="4"/>
  <c r="J25" i="4"/>
  <c r="J14" i="4"/>
  <c r="AX11" i="4"/>
  <c r="J11" i="4"/>
  <c r="J19" i="4"/>
  <c r="J28" i="4"/>
  <c r="J27" i="4"/>
  <c r="J26" i="4"/>
  <c r="AX14" i="4"/>
  <c r="AX15" i="4"/>
  <c r="AX28" i="4"/>
  <c r="AX19" i="4"/>
  <c r="J18" i="4"/>
  <c r="J12" i="4"/>
  <c r="J21" i="4"/>
  <c r="J23" i="4"/>
  <c r="J13" i="4"/>
  <c r="AX10" i="4"/>
  <c r="J16" i="14"/>
  <c r="J14" i="14"/>
  <c r="J27" i="14"/>
  <c r="J28" i="14"/>
  <c r="J11" i="14"/>
  <c r="J25" i="14"/>
  <c r="J18" i="14"/>
  <c r="J17" i="14"/>
  <c r="J9" i="14"/>
  <c r="J15" i="14"/>
  <c r="J22" i="14"/>
  <c r="J13" i="14"/>
  <c r="J24" i="14"/>
  <c r="J12" i="14"/>
  <c r="J23" i="14"/>
  <c r="J20" i="14"/>
  <c r="J19" i="14"/>
  <c r="J26" i="14"/>
  <c r="J10" i="14"/>
  <c r="J21" i="14"/>
  <c r="AX15" i="13"/>
  <c r="AX21" i="13"/>
  <c r="AX10" i="13"/>
  <c r="AX14" i="13"/>
  <c r="AX17" i="13"/>
  <c r="AX20" i="13"/>
  <c r="AX23" i="13"/>
  <c r="AX11" i="13"/>
  <c r="AY24" i="13"/>
  <c r="AY23" i="13"/>
  <c r="AY26" i="13"/>
  <c r="AY25" i="13"/>
  <c r="AY28" i="13"/>
  <c r="AY22" i="13"/>
  <c r="AY21" i="13"/>
  <c r="AY20" i="13"/>
  <c r="AY18" i="13"/>
  <c r="AY27" i="13"/>
  <c r="AY16" i="13"/>
  <c r="AY14" i="13"/>
  <c r="AY12" i="13"/>
  <c r="AY9" i="13"/>
  <c r="AY13" i="13"/>
  <c r="AY11" i="13"/>
  <c r="AY15" i="13"/>
  <c r="AY19" i="13"/>
  <c r="AY17" i="13"/>
  <c r="AY10" i="13"/>
  <c r="AX9" i="13"/>
  <c r="AX16" i="13"/>
  <c r="AX18" i="13"/>
  <c r="AX24" i="13"/>
  <c r="AX25" i="13"/>
  <c r="AX13" i="13"/>
  <c r="AX26" i="13"/>
  <c r="AX12" i="13"/>
  <c r="AX22" i="13"/>
  <c r="AX19" i="13"/>
  <c r="AX28" i="13"/>
  <c r="AX27" i="13"/>
  <c r="BA23" i="12"/>
  <c r="BD23" i="12"/>
  <c r="BE23" i="12" s="1"/>
  <c r="BA27" i="12"/>
  <c r="BD27" i="12"/>
  <c r="BE27" i="12" s="1"/>
  <c r="BA11" i="12"/>
  <c r="BD11" i="12"/>
  <c r="BE11" i="12" s="1"/>
  <c r="BA18" i="12"/>
  <c r="BD18" i="12"/>
  <c r="BE18" i="12" s="1"/>
  <c r="BA16" i="12"/>
  <c r="BD16" i="12"/>
  <c r="BE16" i="12" s="1"/>
  <c r="BA20" i="12"/>
  <c r="BD20" i="12"/>
  <c r="BE20" i="12" s="1"/>
  <c r="BA19" i="12"/>
  <c r="BD19" i="12"/>
  <c r="BE19" i="12" s="1"/>
  <c r="BA10" i="12"/>
  <c r="BD10" i="12"/>
  <c r="BE10" i="12" s="1"/>
  <c r="BA15" i="12"/>
  <c r="BD15" i="12"/>
  <c r="BE15" i="12" s="1"/>
  <c r="BA25" i="12"/>
  <c r="BD25" i="12"/>
  <c r="BE25" i="12" s="1"/>
  <c r="BA17" i="12"/>
  <c r="BD17" i="12"/>
  <c r="BE17" i="12" s="1"/>
  <c r="BA21" i="12"/>
  <c r="BD21" i="12"/>
  <c r="BE21" i="12" s="1"/>
  <c r="BA14" i="12"/>
  <c r="BD14" i="12"/>
  <c r="BE14" i="12" s="1"/>
  <c r="BA9" i="12"/>
  <c r="BD9" i="12"/>
  <c r="BE9" i="12" s="1"/>
  <c r="BA28" i="12"/>
  <c r="BD28" i="12"/>
  <c r="BE28" i="12" s="1"/>
  <c r="BA13" i="12"/>
  <c r="BD13" i="12"/>
  <c r="BE13" i="12" s="1"/>
  <c r="BA24" i="12"/>
  <c r="BD24" i="12"/>
  <c r="BE24" i="12" s="1"/>
  <c r="BA22" i="12"/>
  <c r="BD22" i="12"/>
  <c r="BE22" i="12" s="1"/>
  <c r="BA12" i="12"/>
  <c r="BD12" i="12"/>
  <c r="BE12" i="12" s="1"/>
  <c r="BA26" i="12"/>
  <c r="BD26" i="12"/>
  <c r="BE26" i="12" s="1"/>
  <c r="AX16" i="11"/>
  <c r="AX19" i="11"/>
  <c r="AX21" i="11"/>
  <c r="AY28" i="11"/>
  <c r="AY26" i="11"/>
  <c r="AY24" i="11"/>
  <c r="AY22" i="11"/>
  <c r="AY25" i="11"/>
  <c r="AY20" i="11"/>
  <c r="AY18" i="11"/>
  <c r="AY16" i="11"/>
  <c r="AY23" i="11"/>
  <c r="AY21" i="11"/>
  <c r="AY19" i="11"/>
  <c r="AY17" i="11"/>
  <c r="AY15" i="11"/>
  <c r="AY12" i="11"/>
  <c r="AY9" i="11"/>
  <c r="AY14" i="11"/>
  <c r="AY11" i="11"/>
  <c r="AY27" i="11"/>
  <c r="AY10" i="11"/>
  <c r="AY13" i="11"/>
  <c r="AX11" i="11"/>
  <c r="AX9" i="11"/>
  <c r="AX13" i="11"/>
  <c r="AX24" i="11"/>
  <c r="AX23" i="11"/>
  <c r="AX14" i="11"/>
  <c r="AX12" i="11"/>
  <c r="AX18" i="11"/>
  <c r="AX26" i="11"/>
  <c r="AX25" i="11"/>
  <c r="AX10" i="11"/>
  <c r="AX22" i="11"/>
  <c r="AX17" i="11"/>
  <c r="AX15" i="11"/>
  <c r="AX20" i="11"/>
  <c r="AX28" i="11"/>
  <c r="AX27" i="11"/>
  <c r="AX17" i="10"/>
  <c r="AX22" i="10"/>
  <c r="AY28" i="10"/>
  <c r="AY26" i="10"/>
  <c r="AY24" i="10"/>
  <c r="AY22" i="10"/>
  <c r="AY25" i="10"/>
  <c r="AY23" i="10"/>
  <c r="AY19" i="10"/>
  <c r="AY17" i="10"/>
  <c r="AY15" i="10"/>
  <c r="AY21" i="10"/>
  <c r="AY18" i="10"/>
  <c r="AY13" i="10"/>
  <c r="AY16" i="10"/>
  <c r="AY12" i="10"/>
  <c r="AY9" i="10"/>
  <c r="AY27" i="10"/>
  <c r="AY14" i="10"/>
  <c r="AY11" i="10"/>
  <c r="AY10" i="10"/>
  <c r="AY20" i="10"/>
  <c r="AX9" i="10"/>
  <c r="AX12" i="10"/>
  <c r="AX19" i="10"/>
  <c r="AX24" i="10"/>
  <c r="AX23" i="10"/>
  <c r="AX16" i="10"/>
  <c r="AX11" i="10"/>
  <c r="AX13" i="10"/>
  <c r="AX18" i="10"/>
  <c r="AX26" i="10"/>
  <c r="AX25" i="10"/>
  <c r="AX10" i="10"/>
  <c r="AX21" i="10"/>
  <c r="AX14" i="10"/>
  <c r="AX15" i="10"/>
  <c r="AX20" i="10"/>
  <c r="AX28" i="10"/>
  <c r="AX27" i="10"/>
  <c r="AX19" i="9"/>
  <c r="AX21" i="9"/>
  <c r="AX10" i="9"/>
  <c r="AX16" i="9"/>
  <c r="AX17" i="9"/>
  <c r="AX22" i="9"/>
  <c r="AX23" i="9"/>
  <c r="AX15" i="9"/>
  <c r="AX9" i="9"/>
  <c r="AX12" i="9"/>
  <c r="AX26" i="9"/>
  <c r="AX24" i="9"/>
  <c r="AX25" i="9"/>
  <c r="AX14" i="9"/>
  <c r="AX20" i="9"/>
  <c r="AY28" i="9"/>
  <c r="AY26" i="9"/>
  <c r="AY24" i="9"/>
  <c r="AY22" i="9"/>
  <c r="AY21" i="9"/>
  <c r="AY20" i="9"/>
  <c r="AY18" i="9"/>
  <c r="AY25" i="9"/>
  <c r="AY19" i="9"/>
  <c r="AY17" i="9"/>
  <c r="AY12" i="9"/>
  <c r="AY27" i="9"/>
  <c r="AY16" i="9"/>
  <c r="AY14" i="9"/>
  <c r="AY11" i="9"/>
  <c r="AY23" i="9"/>
  <c r="AY9" i="9"/>
  <c r="AY15" i="9"/>
  <c r="AY13" i="9"/>
  <c r="AY10" i="9"/>
  <c r="AX11" i="9"/>
  <c r="AX13" i="9"/>
  <c r="AX18" i="9"/>
  <c r="AX28" i="9"/>
  <c r="AX27" i="9"/>
  <c r="J12" i="8"/>
  <c r="J14" i="8"/>
  <c r="J26" i="8"/>
  <c r="J18" i="8"/>
  <c r="J27" i="8"/>
  <c r="J9" i="8"/>
  <c r="J24" i="8"/>
  <c r="J22" i="8"/>
  <c r="J13" i="8"/>
  <c r="J19" i="8"/>
  <c r="J10" i="8"/>
  <c r="J20" i="8"/>
  <c r="J16" i="8"/>
  <c r="J21" i="8"/>
  <c r="J23" i="8"/>
  <c r="J25" i="8"/>
  <c r="J11" i="8"/>
  <c r="J17" i="8"/>
  <c r="J28" i="8"/>
  <c r="J15" i="8"/>
  <c r="AX13" i="7"/>
  <c r="AX20" i="7"/>
  <c r="AX21" i="7"/>
  <c r="AX10" i="7"/>
  <c r="AX12" i="7"/>
  <c r="AX15" i="7"/>
  <c r="AX24" i="7"/>
  <c r="AX23" i="7"/>
  <c r="AX11" i="7"/>
  <c r="AX16" i="7"/>
  <c r="AX17" i="7"/>
  <c r="AX26" i="7"/>
  <c r="AX25" i="7"/>
  <c r="AX9" i="7"/>
  <c r="AX22" i="7"/>
  <c r="AY28" i="7"/>
  <c r="AY26" i="7"/>
  <c r="AY24" i="7"/>
  <c r="AY22" i="7"/>
  <c r="AY25" i="7"/>
  <c r="AY23" i="7"/>
  <c r="AY20" i="7"/>
  <c r="AY18" i="7"/>
  <c r="AY16" i="7"/>
  <c r="AY14" i="7"/>
  <c r="AY21" i="7"/>
  <c r="AY19" i="7"/>
  <c r="AY11" i="7"/>
  <c r="AY17" i="7"/>
  <c r="AY10" i="7"/>
  <c r="AY27" i="7"/>
  <c r="AY15" i="7"/>
  <c r="AY13" i="7"/>
  <c r="AY12" i="7"/>
  <c r="AY9" i="7"/>
  <c r="AX14" i="7"/>
  <c r="AX18" i="7"/>
  <c r="AX19" i="7"/>
  <c r="AX28" i="7"/>
  <c r="AX27" i="7"/>
  <c r="AX11" i="6"/>
  <c r="AX18" i="6"/>
  <c r="AY28" i="6"/>
  <c r="AY26" i="6"/>
  <c r="AY24" i="6"/>
  <c r="AY22" i="6"/>
  <c r="AY25" i="6"/>
  <c r="AY21" i="6"/>
  <c r="AY19" i="6"/>
  <c r="AY17" i="6"/>
  <c r="AY15" i="6"/>
  <c r="AY13" i="6"/>
  <c r="AY27" i="6"/>
  <c r="AY12" i="6"/>
  <c r="AY9" i="6"/>
  <c r="AY23" i="6"/>
  <c r="AY20" i="6"/>
  <c r="AY14" i="6"/>
  <c r="AY11" i="6"/>
  <c r="AY18" i="6"/>
  <c r="AY16" i="6"/>
  <c r="AY10" i="6"/>
  <c r="AX14" i="6"/>
  <c r="AX13" i="6"/>
  <c r="AX19" i="6"/>
  <c r="AX20" i="6"/>
  <c r="AX23" i="6"/>
  <c r="AX12" i="6"/>
  <c r="AX16" i="6"/>
  <c r="AX15" i="6"/>
  <c r="AX22" i="6"/>
  <c r="AX24" i="6"/>
  <c r="AX25" i="6"/>
  <c r="AX17" i="6"/>
  <c r="AX21" i="6"/>
  <c r="AX9" i="6"/>
  <c r="AX10" i="6"/>
  <c r="AX26" i="6"/>
  <c r="AX28" i="6"/>
  <c r="AX27" i="6"/>
  <c r="J13" i="5"/>
  <c r="J16" i="5"/>
  <c r="J19" i="5"/>
  <c r="J10" i="5"/>
  <c r="J18" i="5"/>
  <c r="J21" i="5"/>
  <c r="J12" i="5"/>
  <c r="J15" i="5"/>
  <c r="J27" i="5"/>
  <c r="J25" i="5"/>
  <c r="J20" i="5"/>
  <c r="J14" i="5"/>
  <c r="J22" i="5"/>
  <c r="J24" i="5"/>
  <c r="J17" i="5"/>
  <c r="J28" i="5"/>
  <c r="J11" i="5"/>
  <c r="J23" i="5"/>
  <c r="J26" i="5"/>
  <c r="AO8" i="2"/>
  <c r="AO7" i="2" s="1"/>
  <c r="AN7" i="2"/>
  <c r="BA18" i="4" l="1"/>
  <c r="AX17" i="4"/>
  <c r="BA22" i="4"/>
  <c r="AX20" i="4"/>
  <c r="BD14" i="4"/>
  <c r="BE14" i="4" s="1"/>
  <c r="AX12" i="4"/>
  <c r="AX13" i="4"/>
  <c r="AX24" i="4"/>
  <c r="AX22" i="4"/>
  <c r="AX23" i="4"/>
  <c r="AX16" i="4"/>
  <c r="AX26" i="4"/>
  <c r="BA9" i="4"/>
  <c r="BA26" i="4"/>
  <c r="BD26" i="4"/>
  <c r="BE26" i="4" s="1"/>
  <c r="BA27" i="4"/>
  <c r="BD27" i="4"/>
  <c r="BE27" i="4" s="1"/>
  <c r="BD18" i="4"/>
  <c r="BE18" i="4" s="1"/>
  <c r="BD21" i="4"/>
  <c r="BE21" i="4" s="1"/>
  <c r="BA21" i="4"/>
  <c r="BD10" i="4"/>
  <c r="BE10" i="4" s="1"/>
  <c r="BA10" i="4"/>
  <c r="BD20" i="4"/>
  <c r="BE20" i="4" s="1"/>
  <c r="BA20" i="4"/>
  <c r="AX27" i="4"/>
  <c r="AX9" i="4"/>
  <c r="AX18" i="4"/>
  <c r="AX21" i="4"/>
  <c r="AY22" i="4"/>
  <c r="AY16" i="4"/>
  <c r="AY19" i="4"/>
  <c r="AY27" i="4"/>
  <c r="AY9" i="4"/>
  <c r="AY28" i="4"/>
  <c r="AY25" i="4"/>
  <c r="AY14" i="4"/>
  <c r="AY15" i="4"/>
  <c r="AY13" i="4"/>
  <c r="AY26" i="4"/>
  <c r="AY20" i="4"/>
  <c r="AY23" i="4"/>
  <c r="AY10" i="4"/>
  <c r="AY12" i="4"/>
  <c r="AY24" i="4"/>
  <c r="AY18" i="4"/>
  <c r="AY21" i="4"/>
  <c r="AY17" i="4"/>
  <c r="AY11" i="4"/>
  <c r="AX25" i="4"/>
  <c r="BA17" i="4"/>
  <c r="BD17" i="4"/>
  <c r="BE17" i="4" s="1"/>
  <c r="BA23" i="4"/>
  <c r="BD23" i="4"/>
  <c r="BE23" i="4" s="1"/>
  <c r="AX10" i="14"/>
  <c r="AX22" i="14"/>
  <c r="AX19" i="14"/>
  <c r="AX9" i="14"/>
  <c r="AX16" i="14"/>
  <c r="AX24" i="14"/>
  <c r="AX23" i="14"/>
  <c r="AX21" i="14"/>
  <c r="AX11" i="14"/>
  <c r="AX12" i="14"/>
  <c r="AX18" i="14"/>
  <c r="AX26" i="14"/>
  <c r="AX25" i="14"/>
  <c r="AX17" i="14"/>
  <c r="AX15" i="14"/>
  <c r="AY28" i="14"/>
  <c r="AY26" i="14"/>
  <c r="AY24" i="14"/>
  <c r="AY22" i="14"/>
  <c r="AY25" i="14"/>
  <c r="AY20" i="14"/>
  <c r="AY18" i="14"/>
  <c r="AY16" i="14"/>
  <c r="AY23" i="14"/>
  <c r="AY21" i="14"/>
  <c r="AY19" i="14"/>
  <c r="AY17" i="14"/>
  <c r="AY15" i="14"/>
  <c r="AY13" i="14"/>
  <c r="AY11" i="14"/>
  <c r="AY27" i="14"/>
  <c r="AY10" i="14"/>
  <c r="AY9" i="14"/>
  <c r="AY14" i="14"/>
  <c r="AY12" i="14"/>
  <c r="AX14" i="14"/>
  <c r="AX13" i="14"/>
  <c r="AX20" i="14"/>
  <c r="AX28" i="14"/>
  <c r="AX27" i="14"/>
  <c r="BA12" i="13"/>
  <c r="BD12" i="13"/>
  <c r="BE12" i="13" s="1"/>
  <c r="BA26" i="13"/>
  <c r="BD26" i="13"/>
  <c r="BE26" i="13" s="1"/>
  <c r="BA25" i="13"/>
  <c r="BD25" i="13"/>
  <c r="BE25" i="13" s="1"/>
  <c r="BA24" i="13"/>
  <c r="BD24" i="13"/>
  <c r="BE24" i="13" s="1"/>
  <c r="BA18" i="13"/>
  <c r="BD18" i="13"/>
  <c r="BE18" i="13" s="1"/>
  <c r="BA27" i="13"/>
  <c r="BD27" i="13"/>
  <c r="BE27" i="13" s="1"/>
  <c r="BA16" i="13"/>
  <c r="BD16" i="13"/>
  <c r="BE16" i="13" s="1"/>
  <c r="BA9" i="13"/>
  <c r="BD9" i="13"/>
  <c r="BE9" i="13" s="1"/>
  <c r="BA14" i="13"/>
  <c r="BD14" i="13"/>
  <c r="BE14" i="13" s="1"/>
  <c r="BA11" i="13"/>
  <c r="BD11" i="13"/>
  <c r="BE11" i="13" s="1"/>
  <c r="BA10" i="13"/>
  <c r="BD10" i="13"/>
  <c r="BE10" i="13" s="1"/>
  <c r="BA28" i="13"/>
  <c r="BD28" i="13"/>
  <c r="BE28" i="13" s="1"/>
  <c r="BA19" i="13"/>
  <c r="BD19" i="13"/>
  <c r="BE19" i="13" s="1"/>
  <c r="BA22" i="13"/>
  <c r="BD22" i="13"/>
  <c r="BE22" i="13" s="1"/>
  <c r="BA13" i="13"/>
  <c r="BD13" i="13"/>
  <c r="BE13" i="13" s="1"/>
  <c r="BA23" i="13"/>
  <c r="BD23" i="13"/>
  <c r="BE23" i="13" s="1"/>
  <c r="BA20" i="13"/>
  <c r="BD20" i="13"/>
  <c r="BE20" i="13" s="1"/>
  <c r="BA17" i="13"/>
  <c r="BD17" i="13"/>
  <c r="BE17" i="13" s="1"/>
  <c r="BA21" i="13"/>
  <c r="BD21" i="13"/>
  <c r="BE21" i="13" s="1"/>
  <c r="BA15" i="13"/>
  <c r="BD15" i="13"/>
  <c r="BE15" i="13" s="1"/>
  <c r="BA23" i="11"/>
  <c r="BD23" i="11"/>
  <c r="BE23" i="11" s="1"/>
  <c r="BA11" i="11"/>
  <c r="BD11" i="11"/>
  <c r="BE11" i="11" s="1"/>
  <c r="BA9" i="11"/>
  <c r="BD9" i="11"/>
  <c r="BE9" i="11" s="1"/>
  <c r="BA21" i="11"/>
  <c r="BD21" i="11"/>
  <c r="BE21" i="11" s="1"/>
  <c r="BA16" i="11"/>
  <c r="BD16" i="11"/>
  <c r="BE16" i="11" s="1"/>
  <c r="BA17" i="11"/>
  <c r="BD17" i="11"/>
  <c r="BE17" i="11" s="1"/>
  <c r="BA26" i="11"/>
  <c r="BD26" i="11"/>
  <c r="BE26" i="11" s="1"/>
  <c r="BA27" i="11"/>
  <c r="BD27" i="11"/>
  <c r="BE27" i="11" s="1"/>
  <c r="BA20" i="11"/>
  <c r="BD20" i="11"/>
  <c r="BE20" i="11" s="1"/>
  <c r="BA15" i="11"/>
  <c r="BD15" i="11"/>
  <c r="BE15" i="11" s="1"/>
  <c r="BA25" i="11"/>
  <c r="BD25" i="11"/>
  <c r="BE25" i="11" s="1"/>
  <c r="BA12" i="11"/>
  <c r="BD12" i="11"/>
  <c r="BE12" i="11" s="1"/>
  <c r="BA14" i="11"/>
  <c r="BD14" i="11"/>
  <c r="BE14" i="11" s="1"/>
  <c r="BA13" i="11"/>
  <c r="BD13" i="11"/>
  <c r="BE13" i="11" s="1"/>
  <c r="BA19" i="11"/>
  <c r="BD19" i="11"/>
  <c r="BE19" i="11" s="1"/>
  <c r="BA18" i="11"/>
  <c r="BD18" i="11"/>
  <c r="BE18" i="11" s="1"/>
  <c r="BA24" i="11"/>
  <c r="BD24" i="11"/>
  <c r="BE24" i="11" s="1"/>
  <c r="BA28" i="11"/>
  <c r="BD28" i="11"/>
  <c r="BE28" i="11" s="1"/>
  <c r="BA22" i="11"/>
  <c r="BD22" i="11"/>
  <c r="BE22" i="11" s="1"/>
  <c r="BA10" i="11"/>
  <c r="BD10" i="11"/>
  <c r="BE10" i="11" s="1"/>
  <c r="BA28" i="10"/>
  <c r="BD28" i="10"/>
  <c r="BE28" i="10" s="1"/>
  <c r="BA10" i="10"/>
  <c r="BD10" i="10"/>
  <c r="BE10" i="10" s="1"/>
  <c r="BA9" i="10"/>
  <c r="BD9" i="10"/>
  <c r="BE9" i="10" s="1"/>
  <c r="BA27" i="10"/>
  <c r="BD27" i="10"/>
  <c r="BE27" i="10" s="1"/>
  <c r="BA16" i="10"/>
  <c r="BD16" i="10"/>
  <c r="BE16" i="10" s="1"/>
  <c r="BA19" i="10"/>
  <c r="BD19" i="10"/>
  <c r="BE19" i="10" s="1"/>
  <c r="BA14" i="10"/>
  <c r="BD14" i="10"/>
  <c r="BE14" i="10" s="1"/>
  <c r="BA15" i="10"/>
  <c r="BD15" i="10"/>
  <c r="BE15" i="10" s="1"/>
  <c r="BA25" i="10"/>
  <c r="BD25" i="10"/>
  <c r="BE25" i="10" s="1"/>
  <c r="BA26" i="10"/>
  <c r="BD26" i="10"/>
  <c r="BE26" i="10" s="1"/>
  <c r="BA13" i="10"/>
  <c r="BD13" i="10"/>
  <c r="BE13" i="10" s="1"/>
  <c r="BA24" i="10"/>
  <c r="BD24" i="10"/>
  <c r="BE24" i="10" s="1"/>
  <c r="BA12" i="10"/>
  <c r="BD12" i="10"/>
  <c r="BE12" i="10" s="1"/>
  <c r="BA20" i="10"/>
  <c r="BD20" i="10"/>
  <c r="BE20" i="10" s="1"/>
  <c r="BA21" i="10"/>
  <c r="BD21" i="10"/>
  <c r="BE21" i="10" s="1"/>
  <c r="BA18" i="10"/>
  <c r="BD18" i="10"/>
  <c r="BE18" i="10" s="1"/>
  <c r="BA11" i="10"/>
  <c r="BD11" i="10"/>
  <c r="BE11" i="10" s="1"/>
  <c r="BA23" i="10"/>
  <c r="BD23" i="10"/>
  <c r="BE23" i="10" s="1"/>
  <c r="BA22" i="10"/>
  <c r="BD22" i="10"/>
  <c r="BE22" i="10" s="1"/>
  <c r="BA17" i="10"/>
  <c r="BD17" i="10"/>
  <c r="BE17" i="10" s="1"/>
  <c r="BA26" i="9"/>
  <c r="BD26" i="9"/>
  <c r="BE26" i="9" s="1"/>
  <c r="BA22" i="9"/>
  <c r="BD22" i="9"/>
  <c r="BE22" i="9" s="1"/>
  <c r="BA27" i="9"/>
  <c r="BD27" i="9"/>
  <c r="BE27" i="9" s="1"/>
  <c r="BA28" i="9"/>
  <c r="BD28" i="9"/>
  <c r="BE28" i="9" s="1"/>
  <c r="BA20" i="9"/>
  <c r="BD20" i="9"/>
  <c r="BE20" i="9" s="1"/>
  <c r="BA9" i="9"/>
  <c r="BD9" i="9"/>
  <c r="BE9" i="9" s="1"/>
  <c r="BA17" i="9"/>
  <c r="BD17" i="9"/>
  <c r="BE17" i="9" s="1"/>
  <c r="BA19" i="9"/>
  <c r="BD19" i="9"/>
  <c r="BE19" i="9" s="1"/>
  <c r="BA11" i="9"/>
  <c r="BD11" i="9"/>
  <c r="BE11" i="9" s="1"/>
  <c r="BA24" i="9"/>
  <c r="BD24" i="9"/>
  <c r="BE24" i="9" s="1"/>
  <c r="BA16" i="9"/>
  <c r="BD16" i="9"/>
  <c r="BE16" i="9" s="1"/>
  <c r="BA18" i="9"/>
  <c r="BD18" i="9"/>
  <c r="BE18" i="9" s="1"/>
  <c r="BA15" i="9"/>
  <c r="BD15" i="9"/>
  <c r="BE15" i="9" s="1"/>
  <c r="BA21" i="9"/>
  <c r="BD21" i="9"/>
  <c r="BE21" i="9" s="1"/>
  <c r="BA14" i="9"/>
  <c r="BD14" i="9"/>
  <c r="BE14" i="9" s="1"/>
  <c r="BA12" i="9"/>
  <c r="BD12" i="9"/>
  <c r="BE12" i="9" s="1"/>
  <c r="BA10" i="9"/>
  <c r="BD10" i="9"/>
  <c r="BE10" i="9" s="1"/>
  <c r="BA13" i="9"/>
  <c r="BD13" i="9"/>
  <c r="BE13" i="9" s="1"/>
  <c r="BA25" i="9"/>
  <c r="BD25" i="9"/>
  <c r="BE25" i="9" s="1"/>
  <c r="BA23" i="9"/>
  <c r="BD23" i="9"/>
  <c r="BE23" i="9" s="1"/>
  <c r="AX13" i="8"/>
  <c r="AX22" i="8"/>
  <c r="AX10" i="8"/>
  <c r="AX15" i="8"/>
  <c r="AX16" i="8"/>
  <c r="AX24" i="8"/>
  <c r="AX23" i="8"/>
  <c r="AX14" i="8"/>
  <c r="AY28" i="8"/>
  <c r="AY26" i="8"/>
  <c r="AY24" i="8"/>
  <c r="AY22" i="8"/>
  <c r="AY25" i="8"/>
  <c r="AY23" i="8"/>
  <c r="AY19" i="8"/>
  <c r="AY17" i="8"/>
  <c r="AY15" i="8"/>
  <c r="AY21" i="8"/>
  <c r="AY18" i="8"/>
  <c r="AY14" i="8"/>
  <c r="AY11" i="8"/>
  <c r="AY16" i="8"/>
  <c r="AY10" i="8"/>
  <c r="AY20" i="8"/>
  <c r="AY12" i="8"/>
  <c r="AY9" i="8"/>
  <c r="AY27" i="8"/>
  <c r="AY13" i="8"/>
  <c r="AX11" i="8"/>
  <c r="AX17" i="8"/>
  <c r="AX18" i="8"/>
  <c r="AX26" i="8"/>
  <c r="AX25" i="8"/>
  <c r="AX12" i="8"/>
  <c r="AX21" i="8"/>
  <c r="AX9" i="8"/>
  <c r="AX19" i="8"/>
  <c r="AX20" i="8"/>
  <c r="AX28" i="8"/>
  <c r="AX27" i="8"/>
  <c r="BA19" i="7"/>
  <c r="BD19" i="7"/>
  <c r="BE19" i="7" s="1"/>
  <c r="BA24" i="7"/>
  <c r="BD24" i="7"/>
  <c r="BE24" i="7" s="1"/>
  <c r="BA21" i="7"/>
  <c r="BD21" i="7"/>
  <c r="BE21" i="7" s="1"/>
  <c r="BA14" i="7"/>
  <c r="BD14" i="7"/>
  <c r="BE14" i="7" s="1"/>
  <c r="BA17" i="7"/>
  <c r="BD17" i="7"/>
  <c r="BE17" i="7" s="1"/>
  <c r="BA12" i="7"/>
  <c r="BD12" i="7"/>
  <c r="BE12" i="7" s="1"/>
  <c r="BA10" i="7"/>
  <c r="BD10" i="7"/>
  <c r="BE10" i="7" s="1"/>
  <c r="BA28" i="7"/>
  <c r="BD28" i="7"/>
  <c r="BE28" i="7" s="1"/>
  <c r="BA9" i="7"/>
  <c r="BD9" i="7"/>
  <c r="BE9" i="7" s="1"/>
  <c r="BA15" i="7"/>
  <c r="BD15" i="7"/>
  <c r="BE15" i="7" s="1"/>
  <c r="BA18" i="7"/>
  <c r="BD18" i="7"/>
  <c r="BE18" i="7" s="1"/>
  <c r="BA25" i="7"/>
  <c r="BD25" i="7"/>
  <c r="BE25" i="7" s="1"/>
  <c r="BA26" i="7"/>
  <c r="BD26" i="7"/>
  <c r="BE26" i="7" s="1"/>
  <c r="BA23" i="7"/>
  <c r="BD23" i="7"/>
  <c r="BE23" i="7" s="1"/>
  <c r="BA13" i="7"/>
  <c r="BD13" i="7"/>
  <c r="BE13" i="7" s="1"/>
  <c r="BA27" i="7"/>
  <c r="BD27" i="7"/>
  <c r="BE27" i="7" s="1"/>
  <c r="BA22" i="7"/>
  <c r="BD22" i="7"/>
  <c r="BE22" i="7" s="1"/>
  <c r="BA16" i="7"/>
  <c r="BD16" i="7"/>
  <c r="BE16" i="7" s="1"/>
  <c r="BA11" i="7"/>
  <c r="BD11" i="7"/>
  <c r="BE11" i="7" s="1"/>
  <c r="BA20" i="7"/>
  <c r="BD20" i="7"/>
  <c r="BE20" i="7" s="1"/>
  <c r="BA17" i="6"/>
  <c r="BD17" i="6"/>
  <c r="BE17" i="6" s="1"/>
  <c r="BA15" i="6"/>
  <c r="BD15" i="6"/>
  <c r="BE15" i="6" s="1"/>
  <c r="BA18" i="6"/>
  <c r="BD18" i="6"/>
  <c r="BE18" i="6" s="1"/>
  <c r="BA10" i="6"/>
  <c r="BD10" i="6"/>
  <c r="BE10" i="6" s="1"/>
  <c r="BA24" i="6"/>
  <c r="BD24" i="6"/>
  <c r="BE24" i="6" s="1"/>
  <c r="BA22" i="6"/>
  <c r="BD22" i="6"/>
  <c r="BE22" i="6" s="1"/>
  <c r="BA12" i="6"/>
  <c r="BD12" i="6"/>
  <c r="BE12" i="6" s="1"/>
  <c r="BA14" i="6"/>
  <c r="BD14" i="6"/>
  <c r="BE14" i="6" s="1"/>
  <c r="BA11" i="6"/>
  <c r="BD11" i="6"/>
  <c r="BE11" i="6" s="1"/>
  <c r="BA27" i="6"/>
  <c r="BD27" i="6"/>
  <c r="BE27" i="6" s="1"/>
  <c r="BA9" i="6"/>
  <c r="BD9" i="6"/>
  <c r="BE9" i="6" s="1"/>
  <c r="BA26" i="6"/>
  <c r="BD26" i="6"/>
  <c r="BE26" i="6" s="1"/>
  <c r="BA25" i="6"/>
  <c r="BD25" i="6"/>
  <c r="BE25" i="6" s="1"/>
  <c r="BA16" i="6"/>
  <c r="BD16" i="6"/>
  <c r="BE16" i="6" s="1"/>
  <c r="BA19" i="6"/>
  <c r="BD19" i="6"/>
  <c r="BE19" i="6" s="1"/>
  <c r="BA13" i="6"/>
  <c r="BD13" i="6"/>
  <c r="BE13" i="6" s="1"/>
  <c r="BA28" i="6"/>
  <c r="BD28" i="6"/>
  <c r="BE28" i="6" s="1"/>
  <c r="BA21" i="6"/>
  <c r="BD21" i="6"/>
  <c r="BE21" i="6" s="1"/>
  <c r="BA23" i="6"/>
  <c r="BD23" i="6"/>
  <c r="BE23" i="6" s="1"/>
  <c r="BA20" i="6"/>
  <c r="BD20" i="6"/>
  <c r="BE20" i="6" s="1"/>
  <c r="AY28" i="5"/>
  <c r="AY26" i="5"/>
  <c r="AY24" i="5"/>
  <c r="AY27" i="5"/>
  <c r="AY25" i="5"/>
  <c r="AY23" i="5"/>
  <c r="AY21" i="5"/>
  <c r="AY22" i="5"/>
  <c r="AY19" i="5"/>
  <c r="AY17" i="5"/>
  <c r="AY15" i="5"/>
  <c r="AY20" i="5"/>
  <c r="AY18" i="5"/>
  <c r="AY16" i="5"/>
  <c r="AY14" i="5"/>
  <c r="AY12" i="5"/>
  <c r="AY9" i="5"/>
  <c r="AY11" i="5"/>
  <c r="AY10" i="5"/>
  <c r="AY13" i="5"/>
  <c r="AX10" i="5"/>
  <c r="AX13" i="5"/>
  <c r="AX20" i="5"/>
  <c r="AX19" i="5"/>
  <c r="AX28" i="5"/>
  <c r="AX11" i="5"/>
  <c r="AX14" i="5"/>
  <c r="AX21" i="5"/>
  <c r="AX22" i="5"/>
  <c r="AX23" i="5"/>
  <c r="AX9" i="5"/>
  <c r="AX16" i="5"/>
  <c r="AX15" i="5"/>
  <c r="AX24" i="5"/>
  <c r="AX25" i="5"/>
  <c r="AX12" i="5"/>
  <c r="AX18" i="5"/>
  <c r="AX17" i="5"/>
  <c r="AX26" i="5"/>
  <c r="AX27" i="5"/>
  <c r="J10" i="2"/>
  <c r="J23" i="2"/>
  <c r="J15" i="2"/>
  <c r="J26" i="2"/>
  <c r="J12" i="2"/>
  <c r="J21" i="2"/>
  <c r="J13" i="2"/>
  <c r="J19" i="2"/>
  <c r="J20" i="2"/>
  <c r="J18" i="2"/>
  <c r="J11" i="2"/>
  <c r="J24" i="2"/>
  <c r="J25" i="2"/>
  <c r="J28" i="2"/>
  <c r="J17" i="2"/>
  <c r="J16" i="2"/>
  <c r="J27" i="2"/>
  <c r="J9" i="2"/>
  <c r="J22" i="2"/>
  <c r="J14" i="2"/>
  <c r="BD22" i="4" l="1"/>
  <c r="BE22" i="4" s="1"/>
  <c r="BA14" i="4"/>
  <c r="BD9" i="4"/>
  <c r="BE9" i="4" s="1"/>
  <c r="BD24" i="4"/>
  <c r="BE24" i="4" s="1"/>
  <c r="BA24" i="4"/>
  <c r="BD28" i="4"/>
  <c r="BE28" i="4" s="1"/>
  <c r="BA28" i="4"/>
  <c r="BA16" i="4"/>
  <c r="BD16" i="4"/>
  <c r="BE16" i="4" s="1"/>
  <c r="BA11" i="4"/>
  <c r="BD11" i="4"/>
  <c r="BE11" i="4" s="1"/>
  <c r="BD19" i="4"/>
  <c r="BE19" i="4" s="1"/>
  <c r="BA19" i="4"/>
  <c r="BA13" i="4"/>
  <c r="BD13" i="4"/>
  <c r="BE13" i="4" s="1"/>
  <c r="BA25" i="4"/>
  <c r="BD25" i="4"/>
  <c r="BE25" i="4" s="1"/>
  <c r="BA12" i="4"/>
  <c r="BD12" i="4"/>
  <c r="BE12" i="4" s="1"/>
  <c r="BD15" i="4"/>
  <c r="BE15" i="4" s="1"/>
  <c r="BA15" i="4"/>
  <c r="BA12" i="14"/>
  <c r="BD12" i="14"/>
  <c r="BE12" i="14" s="1"/>
  <c r="BA28" i="14"/>
  <c r="BD28" i="14"/>
  <c r="BE28" i="14" s="1"/>
  <c r="BA13" i="14"/>
  <c r="BD13" i="14"/>
  <c r="BE13" i="14" s="1"/>
  <c r="BA15" i="14"/>
  <c r="BD15" i="14"/>
  <c r="BE15" i="14" s="1"/>
  <c r="BA11" i="14"/>
  <c r="BD11" i="14"/>
  <c r="BE11" i="14" s="1"/>
  <c r="BA23" i="14"/>
  <c r="BD23" i="14"/>
  <c r="BE23" i="14" s="1"/>
  <c r="BA9" i="14"/>
  <c r="BD9" i="14"/>
  <c r="BE9" i="14" s="1"/>
  <c r="BA19" i="14"/>
  <c r="BD19" i="14"/>
  <c r="BE19" i="14" s="1"/>
  <c r="BA26" i="14"/>
  <c r="BD26" i="14"/>
  <c r="BE26" i="14" s="1"/>
  <c r="BA21" i="14"/>
  <c r="BD21" i="14"/>
  <c r="BE21" i="14" s="1"/>
  <c r="BA27" i="14"/>
  <c r="BD27" i="14"/>
  <c r="BE27" i="14" s="1"/>
  <c r="BA14" i="14"/>
  <c r="BD14" i="14"/>
  <c r="BE14" i="14" s="1"/>
  <c r="BA16" i="14"/>
  <c r="BD16" i="14"/>
  <c r="BE16" i="14" s="1"/>
  <c r="BA17" i="14"/>
  <c r="BD17" i="14"/>
  <c r="BE17" i="14" s="1"/>
  <c r="BA18" i="14"/>
  <c r="BD18" i="14"/>
  <c r="BE18" i="14" s="1"/>
  <c r="BA20" i="14"/>
  <c r="BD20" i="14"/>
  <c r="BE20" i="14" s="1"/>
  <c r="BA25" i="14"/>
  <c r="BD25" i="14"/>
  <c r="BE25" i="14" s="1"/>
  <c r="BA24" i="14"/>
  <c r="BD24" i="14"/>
  <c r="BE24" i="14" s="1"/>
  <c r="BA22" i="14"/>
  <c r="BD22" i="14"/>
  <c r="BE22" i="14" s="1"/>
  <c r="BA10" i="14"/>
  <c r="BD10" i="14"/>
  <c r="BE10" i="14" s="1"/>
  <c r="BA20" i="8"/>
  <c r="BD20" i="8"/>
  <c r="BE20" i="8" s="1"/>
  <c r="BA21" i="8"/>
  <c r="BD21" i="8"/>
  <c r="BE21" i="8" s="1"/>
  <c r="BA25" i="8"/>
  <c r="BD25" i="8"/>
  <c r="BE25" i="8" s="1"/>
  <c r="BA26" i="8"/>
  <c r="BD26" i="8"/>
  <c r="BE26" i="8" s="1"/>
  <c r="BA11" i="8"/>
  <c r="BD11" i="8"/>
  <c r="BE11" i="8" s="1"/>
  <c r="BA23" i="8"/>
  <c r="BD23" i="8"/>
  <c r="BE23" i="8" s="1"/>
  <c r="BA15" i="8"/>
  <c r="BD15" i="8"/>
  <c r="BE15" i="8" s="1"/>
  <c r="BA10" i="8"/>
  <c r="BD10" i="8"/>
  <c r="BE10" i="8" s="1"/>
  <c r="BA27" i="8"/>
  <c r="BD27" i="8"/>
  <c r="BE27" i="8" s="1"/>
  <c r="BA19" i="8"/>
  <c r="BD19" i="8"/>
  <c r="BE19" i="8" s="1"/>
  <c r="BA9" i="8"/>
  <c r="BD9" i="8"/>
  <c r="BE9" i="8" s="1"/>
  <c r="BA14" i="8"/>
  <c r="BD14" i="8"/>
  <c r="BE14" i="8" s="1"/>
  <c r="BA16" i="8"/>
  <c r="BD16" i="8"/>
  <c r="BE16" i="8" s="1"/>
  <c r="BA22" i="8"/>
  <c r="BD22" i="8"/>
  <c r="BE22" i="8" s="1"/>
  <c r="BA13" i="8"/>
  <c r="BD13" i="8"/>
  <c r="BE13" i="8" s="1"/>
  <c r="BA28" i="8"/>
  <c r="BD28" i="8"/>
  <c r="BE28" i="8" s="1"/>
  <c r="BA12" i="8"/>
  <c r="BD12" i="8"/>
  <c r="BE12" i="8" s="1"/>
  <c r="BA18" i="8"/>
  <c r="BD18" i="8"/>
  <c r="BE18" i="8" s="1"/>
  <c r="BA17" i="8"/>
  <c r="BD17" i="8"/>
  <c r="BE17" i="8" s="1"/>
  <c r="BA24" i="8"/>
  <c r="BD24" i="8"/>
  <c r="BE24" i="8" s="1"/>
  <c r="BA27" i="5"/>
  <c r="BD27" i="5"/>
  <c r="BE27" i="5" s="1"/>
  <c r="BA17" i="5"/>
  <c r="BD17" i="5"/>
  <c r="BE17" i="5" s="1"/>
  <c r="BA9" i="5"/>
  <c r="BD9" i="5"/>
  <c r="BE9" i="5" s="1"/>
  <c r="BA23" i="5"/>
  <c r="BD23" i="5"/>
  <c r="BE23" i="5" s="1"/>
  <c r="BA21" i="5"/>
  <c r="BD21" i="5"/>
  <c r="BE21" i="5" s="1"/>
  <c r="BA20" i="5"/>
  <c r="BD20" i="5"/>
  <c r="BE20" i="5" s="1"/>
  <c r="BA13" i="5"/>
  <c r="BD13" i="5"/>
  <c r="BE13" i="5" s="1"/>
  <c r="BA26" i="5"/>
  <c r="BD26" i="5"/>
  <c r="BE26" i="5" s="1"/>
  <c r="BA12" i="5"/>
  <c r="BD12" i="5"/>
  <c r="BE12" i="5" s="1"/>
  <c r="BA15" i="5"/>
  <c r="BD15" i="5"/>
  <c r="BE15" i="5" s="1"/>
  <c r="BA22" i="5"/>
  <c r="BD22" i="5"/>
  <c r="BE22" i="5" s="1"/>
  <c r="BA14" i="5"/>
  <c r="BD14" i="5"/>
  <c r="BE14" i="5" s="1"/>
  <c r="BA28" i="5"/>
  <c r="BD28" i="5"/>
  <c r="BE28" i="5" s="1"/>
  <c r="BA19" i="5"/>
  <c r="BD19" i="5"/>
  <c r="BE19" i="5" s="1"/>
  <c r="BA18" i="5"/>
  <c r="BD18" i="5"/>
  <c r="BE18" i="5" s="1"/>
  <c r="BA16" i="5"/>
  <c r="BD16" i="5"/>
  <c r="BE16" i="5" s="1"/>
  <c r="BA25" i="5"/>
  <c r="BD25" i="5"/>
  <c r="BE25" i="5" s="1"/>
  <c r="BA24" i="5"/>
  <c r="BD24" i="5"/>
  <c r="BE24" i="5" s="1"/>
  <c r="BA11" i="5"/>
  <c r="BD11" i="5"/>
  <c r="BE11" i="5" s="1"/>
  <c r="BA10" i="5"/>
  <c r="BD10" i="5"/>
  <c r="BE10" i="5" s="1"/>
  <c r="AX28" i="2"/>
  <c r="AX9" i="2"/>
  <c r="AX22" i="2"/>
  <c r="AX18" i="2"/>
  <c r="AX15" i="2"/>
  <c r="AX13" i="2"/>
  <c r="AX21" i="2"/>
  <c r="AX17" i="2"/>
  <c r="AX14" i="2"/>
  <c r="AX11" i="2"/>
  <c r="AY12" i="2"/>
  <c r="AY16" i="2"/>
  <c r="AY20" i="2"/>
  <c r="AY24" i="2"/>
  <c r="AY28" i="2"/>
  <c r="AY9" i="2"/>
  <c r="AY13" i="2"/>
  <c r="AY17" i="2"/>
  <c r="AY21" i="2"/>
  <c r="AY25" i="2"/>
  <c r="AY10" i="2"/>
  <c r="AY14" i="2"/>
  <c r="AY18" i="2"/>
  <c r="AY22" i="2"/>
  <c r="AY26" i="2"/>
  <c r="AY11" i="2"/>
  <c r="AY15" i="2"/>
  <c r="AY19" i="2"/>
  <c r="AY23" i="2"/>
  <c r="AY27" i="2"/>
  <c r="AX24" i="2"/>
  <c r="AX25" i="2"/>
  <c r="AX27" i="2"/>
  <c r="AX10" i="2"/>
  <c r="AX16" i="2"/>
  <c r="AX20" i="2"/>
  <c r="AX26" i="2"/>
  <c r="AX23" i="2"/>
  <c r="AX19" i="2"/>
  <c r="AX12" i="2"/>
  <c r="BA20" i="2" l="1"/>
  <c r="BD20" i="2"/>
  <c r="BE20" i="2" s="1"/>
  <c r="BA10" i="2"/>
  <c r="BD10" i="2"/>
  <c r="BE10" i="2" s="1"/>
  <c r="BA24" i="2"/>
  <c r="BD24" i="2"/>
  <c r="BE24" i="2" s="1"/>
  <c r="BA17" i="2"/>
  <c r="BD17" i="2"/>
  <c r="BE17" i="2" s="1"/>
  <c r="BA22" i="2"/>
  <c r="BD22" i="2"/>
  <c r="BE22" i="2" s="1"/>
  <c r="BA12" i="2"/>
  <c r="BD12" i="2"/>
  <c r="BE12" i="2" s="1"/>
  <c r="BA23" i="2"/>
  <c r="BD23" i="2"/>
  <c r="BE23" i="2" s="1"/>
  <c r="BA11" i="2"/>
  <c r="BD11" i="2"/>
  <c r="BE11" i="2" s="1"/>
  <c r="BA14" i="2"/>
  <c r="BD14" i="2"/>
  <c r="BE14" i="2" s="1"/>
  <c r="BA9" i="2"/>
  <c r="BD9" i="2"/>
  <c r="BE9" i="2" s="1"/>
  <c r="BA25" i="2"/>
  <c r="BD25" i="2"/>
  <c r="BE25" i="2" s="1"/>
  <c r="BA21" i="2"/>
  <c r="BD21" i="2"/>
  <c r="BE21" i="2" s="1"/>
  <c r="BA18" i="2"/>
  <c r="BD18" i="2"/>
  <c r="BE18" i="2" s="1"/>
  <c r="BA16" i="2"/>
  <c r="BD16" i="2"/>
  <c r="BE16" i="2" s="1"/>
  <c r="BA19" i="2"/>
  <c r="BD19" i="2"/>
  <c r="BE19" i="2" s="1"/>
  <c r="BA26" i="2"/>
  <c r="BD26" i="2"/>
  <c r="BE26" i="2" s="1"/>
  <c r="BA27" i="2"/>
  <c r="BD27" i="2"/>
  <c r="BE27" i="2" s="1"/>
  <c r="BA13" i="2"/>
  <c r="BD13" i="2"/>
  <c r="BE13" i="2" s="1"/>
  <c r="BA15" i="2"/>
  <c r="BD15" i="2"/>
  <c r="BE15" i="2" s="1"/>
  <c r="BA28" i="2"/>
  <c r="BD28" i="2"/>
  <c r="BE28" i="2" s="1"/>
</calcChain>
</file>

<file path=xl/sharedStrings.xml><?xml version="1.0" encoding="utf-8"?>
<sst xmlns="http://schemas.openxmlformats.org/spreadsheetml/2006/main" count="7059" uniqueCount="46">
  <si>
    <t>S.No</t>
  </si>
  <si>
    <t>Name</t>
  </si>
  <si>
    <t>Employee ID</t>
  </si>
  <si>
    <t>Aarav Sharma</t>
  </si>
  <si>
    <t>Saanvi Mehta</t>
  </si>
  <si>
    <t>Vedant Iyer</t>
  </si>
  <si>
    <t>Anaya Kapoor</t>
  </si>
  <si>
    <t>Karan Malhotra</t>
  </si>
  <si>
    <t>Ishita Joshi</t>
  </si>
  <si>
    <t>Rohan Verma</t>
  </si>
  <si>
    <t>Nisha Gupta</t>
  </si>
  <si>
    <t>Arjun Patel</t>
  </si>
  <si>
    <t>Priya Desai</t>
  </si>
  <si>
    <t>Kabir Rathi</t>
  </si>
  <si>
    <t>Meera Nair</t>
  </si>
  <si>
    <t>Siddharth Bansal</t>
  </si>
  <si>
    <t>Aanya Khanna</t>
  </si>
  <si>
    <t>Laksh Singhania</t>
  </si>
  <si>
    <t>Tanvi Goyal</t>
  </si>
  <si>
    <t>Aditya Shekhawat</t>
  </si>
  <si>
    <t>Isha Chauhan</t>
  </si>
  <si>
    <t>Vihaan Reddy</t>
  </si>
  <si>
    <t>Riya Kaur</t>
  </si>
  <si>
    <t>S No</t>
  </si>
  <si>
    <t>Employee Id</t>
  </si>
  <si>
    <t>Employee Name</t>
  </si>
  <si>
    <t>Week off</t>
  </si>
  <si>
    <t>To</t>
  </si>
  <si>
    <t>From</t>
  </si>
  <si>
    <t>Days</t>
  </si>
  <si>
    <t>Additional Information</t>
  </si>
  <si>
    <t>Present</t>
  </si>
  <si>
    <t>Absent</t>
  </si>
  <si>
    <t>Leave</t>
  </si>
  <si>
    <t>Week Off</t>
  </si>
  <si>
    <t>Paid Days</t>
  </si>
  <si>
    <t>Salary</t>
  </si>
  <si>
    <t>PerDay Salary</t>
  </si>
  <si>
    <t>Deduction</t>
  </si>
  <si>
    <t>Total Salary</t>
  </si>
  <si>
    <t>SparkLine</t>
  </si>
  <si>
    <t>Month</t>
  </si>
  <si>
    <t>L</t>
  </si>
  <si>
    <t xml:space="preserve">P </t>
  </si>
  <si>
    <t xml:space="preserve">A </t>
  </si>
  <si>
    <t xml:space="preserve">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</si>
</sst>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m/yyyy"/>
    <numFmt numFmtId="165" formatCode="dd"/>
    <numFmt numFmtId="166" formatCode="_ [$₹-4009]\ * #,##0.0_ ;_ [$₹-4009]\ * \-#,##0.0_ ;_ [$₹-4009]\ * &quot;-&quot;??_ ;_ @_ "/>
    <numFmt numFmtId="167" formatCode="_ [$₹-4009]\ * #,##0_ ;_ [$₹-4009]\ * \-#,##0_ ;_ [$₹-4009]\ * &quot;-&quot;??_ ;_ @_ 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theme="1"/>
      <name val="Bahnschrift SemiCondensed"/>
      <family val="2"/>
    </font>
    <font>
      <b/>
      <sz val="2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DFE34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DFDA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/>
      <bottom style="thick">
        <color auto="1"/>
      </bottom>
      <diagonal/>
    </border>
    <border>
      <left style="thin">
        <color indexed="64"/>
      </left>
      <right/>
      <top style="thick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1" xfId="0" applyFont="1" applyBorder="1" applyAlignment="1">
      <alignment wrapText="1"/>
    </xf>
    <xf numFmtId="14" fontId="0" fillId="0" borderId="0" xfId="0" applyNumberFormat="1"/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165" fontId="2" fillId="4" borderId="0" xfId="0" applyNumberFormat="1" applyFont="1" applyFill="1" applyBorder="1" applyAlignment="1">
      <alignment horizontal="center" vertical="center"/>
    </xf>
    <xf numFmtId="165" fontId="2" fillId="4" borderId="6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3" xfId="0" applyFont="1" applyBorder="1"/>
    <xf numFmtId="167" fontId="5" fillId="0" borderId="3" xfId="0" applyNumberFormat="1" applyFont="1" applyBorder="1"/>
    <xf numFmtId="0" fontId="5" fillId="0" borderId="0" xfId="0" applyFont="1" applyBorder="1"/>
    <xf numFmtId="167" fontId="5" fillId="0" borderId="0" xfId="0" applyNumberFormat="1" applyFont="1" applyBorder="1"/>
    <xf numFmtId="166" fontId="5" fillId="0" borderId="0" xfId="0" applyNumberFormat="1" applyFont="1" applyBorder="1"/>
    <xf numFmtId="0" fontId="2" fillId="6" borderId="10" xfId="0" applyFont="1" applyFill="1" applyBorder="1" applyAlignment="1">
      <alignment horizontal="center" vertical="center"/>
    </xf>
    <xf numFmtId="0" fontId="5" fillId="0" borderId="11" xfId="0" applyFont="1" applyBorder="1"/>
    <xf numFmtId="0" fontId="5" fillId="0" borderId="12" xfId="0" applyFont="1" applyBorder="1"/>
    <xf numFmtId="0" fontId="2" fillId="6" borderId="0" xfId="0" applyFont="1" applyFill="1" applyBorder="1" applyAlignment="1">
      <alignment horizontal="center" vertical="center"/>
    </xf>
    <xf numFmtId="0" fontId="0" fillId="7" borderId="0" xfId="0" applyFill="1"/>
    <xf numFmtId="0" fontId="0" fillId="7" borderId="0" xfId="0" applyFill="1" applyBorder="1"/>
    <xf numFmtId="0" fontId="0" fillId="8" borderId="0" xfId="0" applyFill="1"/>
    <xf numFmtId="165" fontId="0" fillId="8" borderId="0" xfId="0" applyNumberFormat="1" applyFill="1"/>
    <xf numFmtId="0" fontId="6" fillId="9" borderId="0" xfId="0" applyFont="1" applyFill="1"/>
    <xf numFmtId="0" fontId="6" fillId="9" borderId="0" xfId="0" applyFont="1" applyFill="1" applyBorder="1"/>
    <xf numFmtId="165" fontId="0" fillId="9" borderId="0" xfId="0" applyNumberFormat="1" applyFill="1"/>
    <xf numFmtId="0" fontId="0" fillId="9" borderId="0" xfId="0" applyFill="1"/>
    <xf numFmtId="0" fontId="0" fillId="0" borderId="5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7" fillId="7" borderId="0" xfId="0" applyFont="1" applyFill="1"/>
    <xf numFmtId="164" fontId="7" fillId="7" borderId="0" xfId="0" applyNumberFormat="1" applyFont="1" applyFill="1"/>
    <xf numFmtId="0" fontId="8" fillId="0" borderId="1" xfId="0" applyFont="1" applyBorder="1" applyAlignment="1">
      <alignment wrapText="1"/>
    </xf>
    <xf numFmtId="0" fontId="9" fillId="0" borderId="6" xfId="0" applyFont="1" applyBorder="1" applyAlignment="1">
      <alignment horizontal="center" vertical="center"/>
    </xf>
    <xf numFmtId="0" fontId="0" fillId="0" borderId="0" xfId="0" applyFont="1"/>
    <xf numFmtId="0" fontId="0" fillId="7" borderId="0" xfId="0" applyFont="1" applyFill="1"/>
    <xf numFmtId="0" fontId="0" fillId="7" borderId="0" xfId="0" applyFont="1" applyFill="1" applyBorder="1"/>
    <xf numFmtId="0" fontId="0" fillId="8" borderId="0" xfId="0" applyFont="1" applyFill="1"/>
    <xf numFmtId="165" fontId="0" fillId="8" borderId="0" xfId="0" applyNumberFormat="1" applyFont="1" applyFill="1"/>
    <xf numFmtId="165" fontId="0" fillId="9" borderId="0" xfId="0" applyNumberFormat="1" applyFont="1" applyFill="1"/>
    <xf numFmtId="0" fontId="0" fillId="9" borderId="0" xfId="0" applyFont="1" applyFill="1"/>
    <xf numFmtId="0" fontId="2" fillId="4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 vertical="center" textRotation="90"/>
    </xf>
    <xf numFmtId="0" fontId="3" fillId="3" borderId="4" xfId="0" applyFont="1" applyFill="1" applyBorder="1" applyAlignment="1">
      <alignment horizontal="center" vertical="center" textRotation="90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textRotation="90"/>
    </xf>
    <xf numFmtId="0" fontId="10" fillId="3" borderId="2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10" fillId="3" borderId="4" xfId="0" applyFont="1" applyFill="1" applyBorder="1" applyAlignment="1">
      <alignment horizontal="center"/>
    </xf>
  </cellXfs>
  <cellStyles count="1">
    <cellStyle name="Normal" xfId="0" builtinId="0"/>
  </cellStyles>
  <dxfs count="288"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  <vertical/>
        <horizontal style="thick">
          <color auto="1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6" formatCode="_ [$₹-4009]\ * #,##0.0_ ;_ [$₹-4009]\ * \-#,##0.0_ ;_ [$₹-4009]\ * &quot;-&quot;??_ ;_ @_ 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167" formatCode="_ [$₹-4009]\ * #,##0_ ;_ [$₹-4009]\ * \-#,##0_ ;_ [$₹-4009]\ * &quot;-&quot;??_ ;_ @_ 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 outline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/>
        <right/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border diagonalUp="0" diagonalDown="0">
        <left style="thin">
          <color indexed="64"/>
        </left>
        <right/>
        <top style="thick">
          <color auto="1"/>
        </top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ck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diagonalUp="0" diagonalDown="0"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outline="0">
        <bottom style="thick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DFE34F"/>
        </patternFill>
      </fill>
      <alignment horizontal="center" vertical="center" textRotation="0" wrapText="0" indent="0" justifyLastLine="0" shrinkToFit="0" readingOrder="0"/>
    </dxf>
    <dxf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DFDAB"/>
      <color rgb="FFFDFDE9"/>
      <color rgb="FFDFE3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Aug!A1"/><Relationship Id="rId13" Type="http://schemas.openxmlformats.org/officeDocument/2006/relationships/image" Target="../media/image1.png"/><Relationship Id="rId3" Type="http://schemas.openxmlformats.org/officeDocument/2006/relationships/hyperlink" Target="#Mar!A1"/><Relationship Id="rId7" Type="http://schemas.openxmlformats.org/officeDocument/2006/relationships/hyperlink" Target="#Jul!A1"/><Relationship Id="rId12" Type="http://schemas.openxmlformats.org/officeDocument/2006/relationships/hyperlink" Target="#Dec!A1"/><Relationship Id="rId2" Type="http://schemas.openxmlformats.org/officeDocument/2006/relationships/hyperlink" Target="#Feb!A1"/><Relationship Id="rId16" Type="http://schemas.openxmlformats.org/officeDocument/2006/relationships/image" Target="../media/image4.png"/><Relationship Id="rId1" Type="http://schemas.openxmlformats.org/officeDocument/2006/relationships/hyperlink" Target="#Jan!A1"/><Relationship Id="rId6" Type="http://schemas.openxmlformats.org/officeDocument/2006/relationships/hyperlink" Target="#Jun!A1"/><Relationship Id="rId11" Type="http://schemas.openxmlformats.org/officeDocument/2006/relationships/hyperlink" Target="#Nov!A1"/><Relationship Id="rId5" Type="http://schemas.openxmlformats.org/officeDocument/2006/relationships/hyperlink" Target="#May!A1"/><Relationship Id="rId15" Type="http://schemas.openxmlformats.org/officeDocument/2006/relationships/image" Target="../media/image3.png"/><Relationship Id="rId10" Type="http://schemas.openxmlformats.org/officeDocument/2006/relationships/hyperlink" Target="#Oct!A1"/><Relationship Id="rId4" Type="http://schemas.openxmlformats.org/officeDocument/2006/relationships/hyperlink" Target="#Apr!A1"/><Relationship Id="rId9" Type="http://schemas.openxmlformats.org/officeDocument/2006/relationships/hyperlink" Target="#Sep!A1"/><Relationship Id="rId1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4718" y="9524"/>
          <a:ext cx="15864567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2" name="Rectangle 1"/>
        <xdr:cNvSpPr/>
      </xdr:nvSpPr>
      <xdr:spPr>
        <a:xfrm>
          <a:off x="9525" y="0"/>
          <a:ext cx="1851252" cy="6517821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421820</xdr:colOff>
      <xdr:row>0</xdr:row>
      <xdr:rowOff>163285</xdr:rowOff>
    </xdr:from>
    <xdr:to>
      <xdr:col>3</xdr:col>
      <xdr:colOff>435429</xdr:colOff>
      <xdr:row>3</xdr:row>
      <xdr:rowOff>163286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421820" y="163285"/>
          <a:ext cx="1850573" cy="571501"/>
        </a:xfrm>
        <a:prstGeom prst="roundRect">
          <a:avLst>
            <a:gd name="adj" fmla="val 40605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</a:rPr>
            <a:t>January</a:t>
          </a:r>
          <a:endParaRPr lang="en-IN" sz="2400" b="1">
            <a:solidFill>
              <a:schemeClr val="tx1"/>
            </a:solidFill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5443</xdr:colOff>
      <xdr:row>4</xdr:row>
      <xdr:rowOff>21771</xdr:rowOff>
    </xdr:from>
    <xdr:to>
      <xdr:col>3</xdr:col>
      <xdr:colOff>91787</xdr:colOff>
      <xdr:row>6</xdr:row>
      <xdr:rowOff>123821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5443" y="783771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6</xdr:row>
      <xdr:rowOff>114979</xdr:rowOff>
    </xdr:from>
    <xdr:to>
      <xdr:col>3</xdr:col>
      <xdr:colOff>86344</xdr:colOff>
      <xdr:row>9</xdr:row>
      <xdr:rowOff>17402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0" y="1271586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19388</xdr:rowOff>
    </xdr:from>
    <xdr:to>
      <xdr:col>3</xdr:col>
      <xdr:colOff>86344</xdr:colOff>
      <xdr:row>11</xdr:row>
      <xdr:rowOff>125921</xdr:rowOff>
    </xdr:to>
    <xdr:sp macro="" textlink="">
      <xdr:nvSpPr>
        <xdr:cNvPr id="6" name="Rounded Rectangle 5">
          <a:hlinkClick xmlns:r="http://schemas.openxmlformats.org/officeDocument/2006/relationships" r:id="rId4"/>
        </xdr:cNvPr>
        <xdr:cNvSpPr/>
      </xdr:nvSpPr>
      <xdr:spPr>
        <a:xfrm>
          <a:off x="0" y="1788317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April</a:t>
          </a:r>
        </a:p>
      </xdr:txBody>
    </xdr:sp>
    <xdr:clientData/>
  </xdr:twoCellAnchor>
  <xdr:twoCellAnchor>
    <xdr:from>
      <xdr:col>0</xdr:col>
      <xdr:colOff>0</xdr:colOff>
      <xdr:row>11</xdr:row>
      <xdr:rowOff>125526</xdr:rowOff>
    </xdr:from>
    <xdr:to>
      <xdr:col>3</xdr:col>
      <xdr:colOff>86344</xdr:colOff>
      <xdr:row>14</xdr:row>
      <xdr:rowOff>9862</xdr:rowOff>
    </xdr:to>
    <xdr:sp macro="" textlink="">
      <xdr:nvSpPr>
        <xdr:cNvPr id="7" name="Rounded Rectangle 6">
          <a:hlinkClick xmlns:r="http://schemas.openxmlformats.org/officeDocument/2006/relationships" r:id="rId5"/>
        </xdr:cNvPr>
        <xdr:cNvSpPr/>
      </xdr:nvSpPr>
      <xdr:spPr>
        <a:xfrm>
          <a:off x="0" y="2302669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May</a:t>
          </a:r>
        </a:p>
      </xdr:txBody>
    </xdr:sp>
    <xdr:clientData/>
  </xdr:twoCellAnchor>
  <xdr:twoCellAnchor>
    <xdr:from>
      <xdr:col>0</xdr:col>
      <xdr:colOff>0</xdr:colOff>
      <xdr:row>14</xdr:row>
      <xdr:rowOff>13266</xdr:rowOff>
    </xdr:from>
    <xdr:to>
      <xdr:col>3</xdr:col>
      <xdr:colOff>86344</xdr:colOff>
      <xdr:row>16</xdr:row>
      <xdr:rowOff>119796</xdr:rowOff>
    </xdr:to>
    <xdr:sp macro="" textlink="">
      <xdr:nvSpPr>
        <xdr:cNvPr id="8" name="Rounded Rectangle 7">
          <a:hlinkClick xmlns:r="http://schemas.openxmlformats.org/officeDocument/2006/relationships" r:id="rId6"/>
        </xdr:cNvPr>
        <xdr:cNvSpPr/>
      </xdr:nvSpPr>
      <xdr:spPr>
        <a:xfrm>
          <a:off x="0" y="2802730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June</a:t>
          </a:r>
        </a:p>
      </xdr:txBody>
    </xdr:sp>
    <xdr:clientData/>
  </xdr:twoCellAnchor>
  <xdr:twoCellAnchor>
    <xdr:from>
      <xdr:col>0</xdr:col>
      <xdr:colOff>0</xdr:colOff>
      <xdr:row>16</xdr:row>
      <xdr:rowOff>131305</xdr:rowOff>
    </xdr:from>
    <xdr:to>
      <xdr:col>3</xdr:col>
      <xdr:colOff>86344</xdr:colOff>
      <xdr:row>19</xdr:row>
      <xdr:rowOff>33731</xdr:rowOff>
    </xdr:to>
    <xdr:sp macro="" textlink="">
      <xdr:nvSpPr>
        <xdr:cNvPr id="9" name="Rounded Rectangle 8">
          <a:hlinkClick xmlns:r="http://schemas.openxmlformats.org/officeDocument/2006/relationships" r:id="rId7"/>
        </xdr:cNvPr>
        <xdr:cNvSpPr/>
      </xdr:nvSpPr>
      <xdr:spPr>
        <a:xfrm>
          <a:off x="0" y="3328984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July</a:t>
          </a:r>
        </a:p>
      </xdr:txBody>
    </xdr:sp>
    <xdr:clientData/>
  </xdr:twoCellAnchor>
  <xdr:twoCellAnchor>
    <xdr:from>
      <xdr:col>0</xdr:col>
      <xdr:colOff>0</xdr:colOff>
      <xdr:row>19</xdr:row>
      <xdr:rowOff>6117</xdr:rowOff>
    </xdr:from>
    <xdr:to>
      <xdr:col>3</xdr:col>
      <xdr:colOff>86344</xdr:colOff>
      <xdr:row>21</xdr:row>
      <xdr:rowOff>112648</xdr:rowOff>
    </xdr:to>
    <xdr:sp macro="" textlink="">
      <xdr:nvSpPr>
        <xdr:cNvPr id="10" name="Rounded Rectangle 9">
          <a:hlinkClick xmlns:r="http://schemas.openxmlformats.org/officeDocument/2006/relationships" r:id="rId8"/>
        </xdr:cNvPr>
        <xdr:cNvSpPr/>
      </xdr:nvSpPr>
      <xdr:spPr>
        <a:xfrm>
          <a:off x="0" y="3816117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August</a:t>
          </a:r>
        </a:p>
      </xdr:txBody>
    </xdr:sp>
    <xdr:clientData/>
  </xdr:twoCellAnchor>
  <xdr:twoCellAnchor>
    <xdr:from>
      <xdr:col>0</xdr:col>
      <xdr:colOff>0</xdr:colOff>
      <xdr:row>21</xdr:row>
      <xdr:rowOff>92109</xdr:rowOff>
    </xdr:from>
    <xdr:to>
      <xdr:col>3</xdr:col>
      <xdr:colOff>86344</xdr:colOff>
      <xdr:row>24</xdr:row>
      <xdr:rowOff>37143</xdr:rowOff>
    </xdr:to>
    <xdr:sp macro="" textlink="">
      <xdr:nvSpPr>
        <xdr:cNvPr id="11" name="Rounded Rectangle 10">
          <a:hlinkClick xmlns:r="http://schemas.openxmlformats.org/officeDocument/2006/relationships" r:id="rId9"/>
        </xdr:cNvPr>
        <xdr:cNvSpPr/>
      </xdr:nvSpPr>
      <xdr:spPr>
        <a:xfrm>
          <a:off x="0" y="4310323"/>
          <a:ext cx="1923308" cy="55735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September</a:t>
          </a:r>
        </a:p>
      </xdr:txBody>
    </xdr:sp>
    <xdr:clientData/>
  </xdr:twoCellAnchor>
  <xdr:twoCellAnchor>
    <xdr:from>
      <xdr:col>0</xdr:col>
      <xdr:colOff>13607</xdr:colOff>
      <xdr:row>24</xdr:row>
      <xdr:rowOff>40477</xdr:rowOff>
    </xdr:from>
    <xdr:to>
      <xdr:col>3</xdr:col>
      <xdr:colOff>99951</xdr:colOff>
      <xdr:row>26</xdr:row>
      <xdr:rowOff>147010</xdr:rowOff>
    </xdr:to>
    <xdr:sp macro="" textlink="">
      <xdr:nvSpPr>
        <xdr:cNvPr id="12" name="Rounded Rectangle 11">
          <a:hlinkClick xmlns:r="http://schemas.openxmlformats.org/officeDocument/2006/relationships" r:id="rId10"/>
        </xdr:cNvPr>
        <xdr:cNvSpPr/>
      </xdr:nvSpPr>
      <xdr:spPr>
        <a:xfrm>
          <a:off x="13607" y="4871013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October</a:t>
          </a:r>
        </a:p>
      </xdr:txBody>
    </xdr:sp>
    <xdr:clientData/>
  </xdr:twoCellAnchor>
  <xdr:twoCellAnchor>
    <xdr:from>
      <xdr:col>0</xdr:col>
      <xdr:colOff>13608</xdr:colOff>
      <xdr:row>26</xdr:row>
      <xdr:rowOff>154438</xdr:rowOff>
    </xdr:from>
    <xdr:to>
      <xdr:col>3</xdr:col>
      <xdr:colOff>99952</xdr:colOff>
      <xdr:row>29</xdr:row>
      <xdr:rowOff>56862</xdr:rowOff>
    </xdr:to>
    <xdr:sp macro="" textlink="">
      <xdr:nvSpPr>
        <xdr:cNvPr id="13" name="Rounded Rectangle 12">
          <a:hlinkClick xmlns:r="http://schemas.openxmlformats.org/officeDocument/2006/relationships" r:id="rId11"/>
        </xdr:cNvPr>
        <xdr:cNvSpPr/>
      </xdr:nvSpPr>
      <xdr:spPr>
        <a:xfrm>
          <a:off x="13608" y="5393188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November</a:t>
          </a:r>
        </a:p>
      </xdr:txBody>
    </xdr:sp>
    <xdr:clientData/>
  </xdr:twoCellAnchor>
  <xdr:twoCellAnchor>
    <xdr:from>
      <xdr:col>0</xdr:col>
      <xdr:colOff>13608</xdr:colOff>
      <xdr:row>29</xdr:row>
      <xdr:rowOff>52683</xdr:rowOff>
    </xdr:from>
    <xdr:to>
      <xdr:col>3</xdr:col>
      <xdr:colOff>99952</xdr:colOff>
      <xdr:row>32</xdr:row>
      <xdr:rowOff>13606</xdr:rowOff>
    </xdr:to>
    <xdr:sp macro="" textlink="">
      <xdr:nvSpPr>
        <xdr:cNvPr id="14" name="Rounded Rectangle 13">
          <a:hlinkClick xmlns:r="http://schemas.openxmlformats.org/officeDocument/2006/relationships" r:id="rId12"/>
        </xdr:cNvPr>
        <xdr:cNvSpPr/>
      </xdr:nvSpPr>
      <xdr:spPr>
        <a:xfrm>
          <a:off x="13608" y="5903754"/>
          <a:ext cx="1923308" cy="5324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5" name="Rectangle 14"/>
        <xdr:cNvSpPr/>
      </xdr:nvSpPr>
      <xdr:spPr>
        <a:xfrm>
          <a:off x="18240374" y="11906"/>
          <a:ext cx="11299031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4</xdr:col>
      <xdr:colOff>176893</xdr:colOff>
      <xdr:row>0</xdr:row>
      <xdr:rowOff>108551</xdr:rowOff>
    </xdr:from>
    <xdr:to>
      <xdr:col>6</xdr:col>
      <xdr:colOff>80595</xdr:colOff>
      <xdr:row>2</xdr:row>
      <xdr:rowOff>62453</xdr:rowOff>
    </xdr:to>
    <xdr:sp macro="" textlink="">
      <xdr:nvSpPr>
        <xdr:cNvPr id="18" name="TextBox 17"/>
        <xdr:cNvSpPr txBox="1"/>
      </xdr:nvSpPr>
      <xdr:spPr>
        <a:xfrm>
          <a:off x="2626179" y="108551"/>
          <a:ext cx="1128345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6</xdr:col>
      <xdr:colOff>65941</xdr:colOff>
      <xdr:row>0</xdr:row>
      <xdr:rowOff>106171</xdr:rowOff>
    </xdr:from>
    <xdr:to>
      <xdr:col>7</xdr:col>
      <xdr:colOff>1006927</xdr:colOff>
      <xdr:row>2</xdr:row>
      <xdr:rowOff>62454</xdr:rowOff>
    </xdr:to>
    <xdr:sp macro="" textlink="$H$5">
      <xdr:nvSpPr>
        <xdr:cNvPr id="19" name="TextBox 18"/>
        <xdr:cNvSpPr txBox="1"/>
      </xdr:nvSpPr>
      <xdr:spPr>
        <a:xfrm>
          <a:off x="3739870" y="106171"/>
          <a:ext cx="1553307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01-Jan-2025</a:t>
          </a:fld>
          <a:endParaRPr lang="en-IN" sz="1600" b="1"/>
        </a:p>
      </xdr:txBody>
    </xdr:sp>
    <xdr:clientData/>
  </xdr:twoCellAnchor>
  <xdr:twoCellAnchor>
    <xdr:from>
      <xdr:col>8</xdr:col>
      <xdr:colOff>680358</xdr:colOff>
      <xdr:row>0</xdr:row>
      <xdr:rowOff>85481</xdr:rowOff>
    </xdr:from>
    <xdr:to>
      <xdr:col>9</xdr:col>
      <xdr:colOff>123647</xdr:colOff>
      <xdr:row>2</xdr:row>
      <xdr:rowOff>85481</xdr:rowOff>
    </xdr:to>
    <xdr:sp macro="" textlink="">
      <xdr:nvSpPr>
        <xdr:cNvPr id="20" name="TextBox 19"/>
        <xdr:cNvSpPr txBox="1"/>
      </xdr:nvSpPr>
      <xdr:spPr>
        <a:xfrm>
          <a:off x="5987144" y="85481"/>
          <a:ext cx="940074" cy="381000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9</xdr:col>
      <xdr:colOff>107809</xdr:colOff>
      <xdr:row>0</xdr:row>
      <xdr:rowOff>85482</xdr:rowOff>
    </xdr:from>
    <xdr:to>
      <xdr:col>14</xdr:col>
      <xdr:colOff>0</xdr:colOff>
      <xdr:row>2</xdr:row>
      <xdr:rowOff>85481</xdr:rowOff>
    </xdr:to>
    <xdr:sp macro="" textlink="$L$5">
      <xdr:nvSpPr>
        <xdr:cNvPr id="21" name="TextBox 20"/>
        <xdr:cNvSpPr txBox="1"/>
      </xdr:nvSpPr>
      <xdr:spPr>
        <a:xfrm>
          <a:off x="6911380" y="85482"/>
          <a:ext cx="1851620" cy="38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31-Jan-2025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326572</xdr:colOff>
      <xdr:row>0</xdr:row>
      <xdr:rowOff>86877</xdr:rowOff>
    </xdr:from>
    <xdr:to>
      <xdr:col>29</xdr:col>
      <xdr:colOff>353785</xdr:colOff>
      <xdr:row>2</xdr:row>
      <xdr:rowOff>99088</xdr:rowOff>
    </xdr:to>
    <xdr:sp macro="" textlink="">
      <xdr:nvSpPr>
        <xdr:cNvPr id="23" name="Rectangle 22"/>
        <xdr:cNvSpPr/>
      </xdr:nvSpPr>
      <xdr:spPr>
        <a:xfrm>
          <a:off x="9416143" y="86877"/>
          <a:ext cx="4544785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299356</xdr:colOff>
      <xdr:row>0</xdr:row>
      <xdr:rowOff>108858</xdr:rowOff>
    </xdr:from>
    <xdr:to>
      <xdr:col>26</xdr:col>
      <xdr:colOff>204106</xdr:colOff>
      <xdr:row>2</xdr:row>
      <xdr:rowOff>54430</xdr:rowOff>
    </xdr:to>
    <xdr:sp macro="" textlink="">
      <xdr:nvSpPr>
        <xdr:cNvPr id="22" name="TextBox 21"/>
        <xdr:cNvSpPr txBox="1"/>
      </xdr:nvSpPr>
      <xdr:spPr>
        <a:xfrm>
          <a:off x="9756320" y="108858"/>
          <a:ext cx="3197679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190500</xdr:colOff>
      <xdr:row>0</xdr:row>
      <xdr:rowOff>95250</xdr:rowOff>
    </xdr:from>
    <xdr:to>
      <xdr:col>29</xdr:col>
      <xdr:colOff>121103</xdr:colOff>
      <xdr:row>2</xdr:row>
      <xdr:rowOff>68036</xdr:rowOff>
    </xdr:to>
    <xdr:sp macro="" textlink="J$5">
      <xdr:nvSpPr>
        <xdr:cNvPr id="24" name="TextBox 23"/>
        <xdr:cNvSpPr txBox="1"/>
      </xdr:nvSpPr>
      <xdr:spPr>
        <a:xfrm>
          <a:off x="11742964" y="95250"/>
          <a:ext cx="1019175" cy="353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January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7" name="TextBox 26"/>
        <xdr:cNvSpPr txBox="1"/>
      </xdr:nvSpPr>
      <xdr:spPr>
        <a:xfrm>
          <a:off x="14219374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164333</xdr:colOff>
      <xdr:row>2</xdr:row>
      <xdr:rowOff>35242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06500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15</xdr:col>
      <xdr:colOff>326571</xdr:colOff>
      <xdr:row>0</xdr:row>
      <xdr:rowOff>122465</xdr:rowOff>
    </xdr:from>
    <xdr:to>
      <xdr:col>17</xdr:col>
      <xdr:colOff>160561</xdr:colOff>
      <xdr:row>2</xdr:row>
      <xdr:rowOff>68037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416142" y="122465"/>
          <a:ext cx="435425" cy="326572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30" name="TextBox 29"/>
        <xdr:cNvSpPr txBox="1"/>
      </xdr:nvSpPr>
      <xdr:spPr>
        <a:xfrm>
          <a:off x="15542148" y="106405"/>
          <a:ext cx="898447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32" name="TextBox 31"/>
        <xdr:cNvSpPr txBox="1"/>
      </xdr:nvSpPr>
      <xdr:spPr>
        <a:xfrm>
          <a:off x="16789364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37</xdr:col>
      <xdr:colOff>10115</xdr:colOff>
      <xdr:row>2</xdr:row>
      <xdr:rowOff>61058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83962" y="92674"/>
          <a:ext cx="360760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124698</xdr:colOff>
      <xdr:row>2</xdr:row>
      <xdr:rowOff>123513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0912" y="29939"/>
          <a:ext cx="337786" cy="4745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2" name="Rectangle 1"/>
        <xdr:cNvSpPr/>
      </xdr:nvSpPr>
      <xdr:spPr>
        <a:xfrm>
          <a:off x="1819275" y="9524"/>
          <a:ext cx="15853681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3" name="Rectangle 2"/>
        <xdr:cNvSpPr/>
      </xdr:nvSpPr>
      <xdr:spPr>
        <a:xfrm>
          <a:off x="9525" y="0"/>
          <a:ext cx="1843088" cy="64484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108508</xdr:rowOff>
    </xdr:from>
    <xdr:to>
      <xdr:col>3</xdr:col>
      <xdr:colOff>127000</xdr:colOff>
      <xdr:row>3</xdr:row>
      <xdr:rowOff>95250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0" y="108508"/>
          <a:ext cx="1963964" cy="558242"/>
        </a:xfrm>
        <a:prstGeom prst="roundRect">
          <a:avLst>
            <a:gd name="adj" fmla="val 8917"/>
          </a:avLst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576943</xdr:colOff>
      <xdr:row>3</xdr:row>
      <xdr:rowOff>122465</xdr:rowOff>
    </xdr:from>
    <xdr:to>
      <xdr:col>4</xdr:col>
      <xdr:colOff>50965</xdr:colOff>
      <xdr:row>6</xdr:row>
      <xdr:rowOff>83000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576943" y="693965"/>
          <a:ext cx="1923308" cy="545642"/>
        </a:xfrm>
        <a:prstGeom prst="roundRect">
          <a:avLst>
            <a:gd name="adj" fmla="val 41325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6</xdr:row>
      <xdr:rowOff>114979</xdr:rowOff>
    </xdr:from>
    <xdr:to>
      <xdr:col>3</xdr:col>
      <xdr:colOff>86344</xdr:colOff>
      <xdr:row>9</xdr:row>
      <xdr:rowOff>17402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0" y="1267504"/>
          <a:ext cx="1915144" cy="5215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19388</xdr:rowOff>
    </xdr:from>
    <xdr:to>
      <xdr:col>3</xdr:col>
      <xdr:colOff>86344</xdr:colOff>
      <xdr:row>11</xdr:row>
      <xdr:rowOff>125921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0" y="1791038"/>
          <a:ext cx="1915144" cy="5065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April</a:t>
          </a:r>
        </a:p>
      </xdr:txBody>
    </xdr:sp>
    <xdr:clientData/>
  </xdr:twoCellAnchor>
  <xdr:twoCellAnchor>
    <xdr:from>
      <xdr:col>0</xdr:col>
      <xdr:colOff>0</xdr:colOff>
      <xdr:row>11</xdr:row>
      <xdr:rowOff>125526</xdr:rowOff>
    </xdr:from>
    <xdr:to>
      <xdr:col>3</xdr:col>
      <xdr:colOff>86344</xdr:colOff>
      <xdr:row>14</xdr:row>
      <xdr:rowOff>9862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0" y="2297226"/>
          <a:ext cx="1915144" cy="48441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May</a:t>
          </a:r>
        </a:p>
      </xdr:txBody>
    </xdr:sp>
    <xdr:clientData/>
  </xdr:twoCellAnchor>
  <xdr:twoCellAnchor>
    <xdr:from>
      <xdr:col>0</xdr:col>
      <xdr:colOff>0</xdr:colOff>
      <xdr:row>14</xdr:row>
      <xdr:rowOff>13266</xdr:rowOff>
    </xdr:from>
    <xdr:to>
      <xdr:col>3</xdr:col>
      <xdr:colOff>86344</xdr:colOff>
      <xdr:row>16</xdr:row>
      <xdr:rowOff>119796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0" y="2785041"/>
          <a:ext cx="1915144" cy="50658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June</a:t>
          </a:r>
        </a:p>
      </xdr:txBody>
    </xdr:sp>
    <xdr:clientData/>
  </xdr:twoCellAnchor>
  <xdr:twoCellAnchor>
    <xdr:from>
      <xdr:col>0</xdr:col>
      <xdr:colOff>0</xdr:colOff>
      <xdr:row>16</xdr:row>
      <xdr:rowOff>131305</xdr:rowOff>
    </xdr:from>
    <xdr:to>
      <xdr:col>3</xdr:col>
      <xdr:colOff>86344</xdr:colOff>
      <xdr:row>19</xdr:row>
      <xdr:rowOff>33731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0" y="3303130"/>
          <a:ext cx="1915144" cy="50250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July</a:t>
          </a:r>
        </a:p>
      </xdr:txBody>
    </xdr:sp>
    <xdr:clientData/>
  </xdr:twoCellAnchor>
  <xdr:twoCellAnchor>
    <xdr:from>
      <xdr:col>0</xdr:col>
      <xdr:colOff>0</xdr:colOff>
      <xdr:row>19</xdr:row>
      <xdr:rowOff>6117</xdr:rowOff>
    </xdr:from>
    <xdr:to>
      <xdr:col>3</xdr:col>
      <xdr:colOff>86344</xdr:colOff>
      <xdr:row>21</xdr:row>
      <xdr:rowOff>112648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0" y="3778017"/>
          <a:ext cx="1915144" cy="50658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August</a:t>
          </a:r>
        </a:p>
      </xdr:txBody>
    </xdr:sp>
    <xdr:clientData/>
  </xdr:twoCellAnchor>
  <xdr:twoCellAnchor>
    <xdr:from>
      <xdr:col>0</xdr:col>
      <xdr:colOff>0</xdr:colOff>
      <xdr:row>21</xdr:row>
      <xdr:rowOff>92109</xdr:rowOff>
    </xdr:from>
    <xdr:to>
      <xdr:col>3</xdr:col>
      <xdr:colOff>86344</xdr:colOff>
      <xdr:row>24</xdr:row>
      <xdr:rowOff>37143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0" y="4264059"/>
          <a:ext cx="1915144" cy="54510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September</a:t>
          </a:r>
        </a:p>
      </xdr:txBody>
    </xdr:sp>
    <xdr:clientData/>
  </xdr:twoCellAnchor>
  <xdr:twoCellAnchor>
    <xdr:from>
      <xdr:col>0</xdr:col>
      <xdr:colOff>13607</xdr:colOff>
      <xdr:row>24</xdr:row>
      <xdr:rowOff>40477</xdr:rowOff>
    </xdr:from>
    <xdr:to>
      <xdr:col>3</xdr:col>
      <xdr:colOff>99951</xdr:colOff>
      <xdr:row>26</xdr:row>
      <xdr:rowOff>147010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3607" y="4812502"/>
          <a:ext cx="1915144" cy="5065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October</a:t>
          </a:r>
        </a:p>
      </xdr:txBody>
    </xdr:sp>
    <xdr:clientData/>
  </xdr:twoCellAnchor>
  <xdr:twoCellAnchor>
    <xdr:from>
      <xdr:col>0</xdr:col>
      <xdr:colOff>13608</xdr:colOff>
      <xdr:row>26</xdr:row>
      <xdr:rowOff>154438</xdr:rowOff>
    </xdr:from>
    <xdr:to>
      <xdr:col>3</xdr:col>
      <xdr:colOff>99952</xdr:colOff>
      <xdr:row>29</xdr:row>
      <xdr:rowOff>56862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3608" y="5326513"/>
          <a:ext cx="1915144" cy="51202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November</a:t>
          </a:r>
        </a:p>
      </xdr:txBody>
    </xdr:sp>
    <xdr:clientData/>
  </xdr:twoCellAnchor>
  <xdr:twoCellAnchor>
    <xdr:from>
      <xdr:col>0</xdr:col>
      <xdr:colOff>13608</xdr:colOff>
      <xdr:row>29</xdr:row>
      <xdr:rowOff>52683</xdr:rowOff>
    </xdr:from>
    <xdr:to>
      <xdr:col>3</xdr:col>
      <xdr:colOff>99952</xdr:colOff>
      <xdr:row>32</xdr:row>
      <xdr:rowOff>13606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3608" y="5834358"/>
          <a:ext cx="1915144" cy="5324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80855" y="11906"/>
          <a:ext cx="12249150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598362</xdr:colOff>
      <xdr:row>0</xdr:row>
      <xdr:rowOff>94944</xdr:rowOff>
    </xdr:from>
    <xdr:to>
      <xdr:col>5</xdr:col>
      <xdr:colOff>530678</xdr:colOff>
      <xdr:row>2</xdr:row>
      <xdr:rowOff>48846</xdr:rowOff>
    </xdr:to>
    <xdr:sp macro="" textlink="">
      <xdr:nvSpPr>
        <xdr:cNvPr id="17" name="TextBox 16"/>
        <xdr:cNvSpPr txBox="1"/>
      </xdr:nvSpPr>
      <xdr:spPr>
        <a:xfrm>
          <a:off x="2435326" y="94944"/>
          <a:ext cx="1156959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5</xdr:col>
      <xdr:colOff>528585</xdr:colOff>
      <xdr:row>0</xdr:row>
      <xdr:rowOff>92564</xdr:rowOff>
    </xdr:from>
    <xdr:to>
      <xdr:col>7</xdr:col>
      <xdr:colOff>857249</xdr:colOff>
      <xdr:row>2</xdr:row>
      <xdr:rowOff>48847</xdr:rowOff>
    </xdr:to>
    <xdr:sp macro="" textlink="$H$5">
      <xdr:nvSpPr>
        <xdr:cNvPr id="18" name="TextBox 17"/>
        <xdr:cNvSpPr txBox="1"/>
      </xdr:nvSpPr>
      <xdr:spPr>
        <a:xfrm>
          <a:off x="3590192" y="92564"/>
          <a:ext cx="1417236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01-Feb-2025</a:t>
          </a:fld>
          <a:endParaRPr lang="en-IN" sz="1600" b="1"/>
        </a:p>
      </xdr:txBody>
    </xdr:sp>
    <xdr:clientData/>
  </xdr:twoCellAnchor>
  <xdr:twoCellAnchor>
    <xdr:from>
      <xdr:col>8</xdr:col>
      <xdr:colOff>449036</xdr:colOff>
      <xdr:row>0</xdr:row>
      <xdr:rowOff>71874</xdr:rowOff>
    </xdr:from>
    <xdr:to>
      <xdr:col>8</xdr:col>
      <xdr:colOff>1402718</xdr:colOff>
      <xdr:row>2</xdr:row>
      <xdr:rowOff>71874</xdr:rowOff>
    </xdr:to>
    <xdr:sp macro="" textlink="">
      <xdr:nvSpPr>
        <xdr:cNvPr id="19" name="TextBox 18"/>
        <xdr:cNvSpPr txBox="1"/>
      </xdr:nvSpPr>
      <xdr:spPr>
        <a:xfrm>
          <a:off x="5470072" y="71874"/>
          <a:ext cx="953682" cy="381000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1414094</xdr:colOff>
      <xdr:row>0</xdr:row>
      <xdr:rowOff>71875</xdr:rowOff>
    </xdr:from>
    <xdr:to>
      <xdr:col>13</xdr:col>
      <xdr:colOff>0</xdr:colOff>
      <xdr:row>2</xdr:row>
      <xdr:rowOff>71874</xdr:rowOff>
    </xdr:to>
    <xdr:sp macro="" textlink="$L$5">
      <xdr:nvSpPr>
        <xdr:cNvPr id="20" name="TextBox 19"/>
        <xdr:cNvSpPr txBox="1"/>
      </xdr:nvSpPr>
      <xdr:spPr>
        <a:xfrm>
          <a:off x="6435130" y="71875"/>
          <a:ext cx="1851620" cy="38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28-Feb-2025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0</xdr:colOff>
      <xdr:row>0</xdr:row>
      <xdr:rowOff>86877</xdr:rowOff>
    </xdr:from>
    <xdr:to>
      <xdr:col>29</xdr:col>
      <xdr:colOff>353785</xdr:colOff>
      <xdr:row>2</xdr:row>
      <xdr:rowOff>99088</xdr:rowOff>
    </xdr:to>
    <xdr:sp macro="" textlink="">
      <xdr:nvSpPr>
        <xdr:cNvPr id="21" name="Rectangle 20"/>
        <xdr:cNvSpPr/>
      </xdr:nvSpPr>
      <xdr:spPr>
        <a:xfrm>
          <a:off x="8899071" y="86877"/>
          <a:ext cx="4871357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176892</xdr:colOff>
      <xdr:row>0</xdr:row>
      <xdr:rowOff>108858</xdr:rowOff>
    </xdr:from>
    <xdr:to>
      <xdr:col>26</xdr:col>
      <xdr:colOff>81642</xdr:colOff>
      <xdr:row>2</xdr:row>
      <xdr:rowOff>54430</xdr:rowOff>
    </xdr:to>
    <xdr:sp macro="" textlink="">
      <xdr:nvSpPr>
        <xdr:cNvPr id="22" name="TextBox 21"/>
        <xdr:cNvSpPr txBox="1"/>
      </xdr:nvSpPr>
      <xdr:spPr>
        <a:xfrm>
          <a:off x="9443356" y="108858"/>
          <a:ext cx="3197679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272143</xdr:colOff>
      <xdr:row>0</xdr:row>
      <xdr:rowOff>108858</xdr:rowOff>
    </xdr:from>
    <xdr:to>
      <xdr:col>30</xdr:col>
      <xdr:colOff>13606</xdr:colOff>
      <xdr:row>2</xdr:row>
      <xdr:rowOff>68036</xdr:rowOff>
    </xdr:to>
    <xdr:sp macro="" textlink="J$5">
      <xdr:nvSpPr>
        <xdr:cNvPr id="23" name="TextBox 22"/>
        <xdr:cNvSpPr txBox="1"/>
      </xdr:nvSpPr>
      <xdr:spPr>
        <a:xfrm>
          <a:off x="12504964" y="108858"/>
          <a:ext cx="1292678" cy="340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February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4" name="TextBox 23"/>
        <xdr:cNvSpPr txBox="1"/>
      </xdr:nvSpPr>
      <xdr:spPr>
        <a:xfrm>
          <a:off x="14207128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137118</xdr:colOff>
      <xdr:row>2</xdr:row>
      <xdr:rowOff>35242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4254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15</xdr:col>
      <xdr:colOff>136072</xdr:colOff>
      <xdr:row>0</xdr:row>
      <xdr:rowOff>81643</xdr:rowOff>
    </xdr:from>
    <xdr:to>
      <xdr:col>17</xdr:col>
      <xdr:colOff>33794</xdr:colOff>
      <xdr:row>2</xdr:row>
      <xdr:rowOff>108857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035143" y="81643"/>
          <a:ext cx="496436" cy="408214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27" name="TextBox 26"/>
        <xdr:cNvSpPr txBox="1"/>
      </xdr:nvSpPr>
      <xdr:spPr>
        <a:xfrm>
          <a:off x="15527180" y="106405"/>
          <a:ext cx="899808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28" name="TextBox 27"/>
        <xdr:cNvSpPr txBox="1"/>
      </xdr:nvSpPr>
      <xdr:spPr>
        <a:xfrm>
          <a:off x="16775757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36</xdr:col>
      <xdr:colOff>255044</xdr:colOff>
      <xdr:row>2</xdr:row>
      <xdr:rowOff>61058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16" y="92674"/>
          <a:ext cx="358038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97484</xdr:colOff>
      <xdr:row>2</xdr:row>
      <xdr:rowOff>123513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305" y="29939"/>
          <a:ext cx="335064" cy="474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2" name="Rectangle 1"/>
        <xdr:cNvSpPr/>
      </xdr:nvSpPr>
      <xdr:spPr>
        <a:xfrm>
          <a:off x="1819275" y="9524"/>
          <a:ext cx="15853681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3" name="Rectangle 2"/>
        <xdr:cNvSpPr/>
      </xdr:nvSpPr>
      <xdr:spPr>
        <a:xfrm>
          <a:off x="9525" y="0"/>
          <a:ext cx="1843088" cy="64484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9070</xdr:colOff>
      <xdr:row>1</xdr:row>
      <xdr:rowOff>68036</xdr:rowOff>
    </xdr:from>
    <xdr:to>
      <xdr:col>3</xdr:col>
      <xdr:colOff>81643</xdr:colOff>
      <xdr:row>3</xdr:row>
      <xdr:rowOff>163286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9070" y="258536"/>
          <a:ext cx="1909537" cy="476250"/>
        </a:xfrm>
        <a:prstGeom prst="roundRect">
          <a:avLst>
            <a:gd name="adj" fmla="val 12715"/>
          </a:avLst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5443</xdr:colOff>
      <xdr:row>3</xdr:row>
      <xdr:rowOff>171449</xdr:rowOff>
    </xdr:from>
    <xdr:to>
      <xdr:col>3</xdr:col>
      <xdr:colOff>91787</xdr:colOff>
      <xdr:row>6</xdr:row>
      <xdr:rowOff>82999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5443" y="742949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February</a:t>
          </a:r>
        </a:p>
      </xdr:txBody>
    </xdr:sp>
    <xdr:clientData/>
  </xdr:twoCellAnchor>
  <xdr:twoCellAnchor>
    <xdr:from>
      <xdr:col>0</xdr:col>
      <xdr:colOff>489857</xdr:colOff>
      <xdr:row>6</xdr:row>
      <xdr:rowOff>54429</xdr:rowOff>
    </xdr:from>
    <xdr:to>
      <xdr:col>3</xdr:col>
      <xdr:colOff>598715</xdr:colOff>
      <xdr:row>9</xdr:row>
      <xdr:rowOff>27214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489857" y="1211036"/>
          <a:ext cx="1945822" cy="585107"/>
        </a:xfrm>
        <a:prstGeom prst="roundRect">
          <a:avLst>
            <a:gd name="adj" fmla="val 50000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rPr>
            <a:t>March</a:t>
          </a:r>
        </a:p>
      </xdr:txBody>
    </xdr:sp>
    <xdr:clientData/>
  </xdr:twoCellAnchor>
  <xdr:twoCellAnchor>
    <xdr:from>
      <xdr:col>0</xdr:col>
      <xdr:colOff>0</xdr:colOff>
      <xdr:row>9</xdr:row>
      <xdr:rowOff>19388</xdr:rowOff>
    </xdr:from>
    <xdr:to>
      <xdr:col>3</xdr:col>
      <xdr:colOff>86344</xdr:colOff>
      <xdr:row>11</xdr:row>
      <xdr:rowOff>125921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0" y="1791038"/>
          <a:ext cx="1915144" cy="5065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April</a:t>
          </a:r>
        </a:p>
      </xdr:txBody>
    </xdr:sp>
    <xdr:clientData/>
  </xdr:twoCellAnchor>
  <xdr:twoCellAnchor>
    <xdr:from>
      <xdr:col>0</xdr:col>
      <xdr:colOff>0</xdr:colOff>
      <xdr:row>11</xdr:row>
      <xdr:rowOff>125526</xdr:rowOff>
    </xdr:from>
    <xdr:to>
      <xdr:col>3</xdr:col>
      <xdr:colOff>86344</xdr:colOff>
      <xdr:row>14</xdr:row>
      <xdr:rowOff>9862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0" y="2297226"/>
          <a:ext cx="1915144" cy="48441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May</a:t>
          </a:r>
        </a:p>
      </xdr:txBody>
    </xdr:sp>
    <xdr:clientData/>
  </xdr:twoCellAnchor>
  <xdr:twoCellAnchor>
    <xdr:from>
      <xdr:col>0</xdr:col>
      <xdr:colOff>0</xdr:colOff>
      <xdr:row>14</xdr:row>
      <xdr:rowOff>13266</xdr:rowOff>
    </xdr:from>
    <xdr:to>
      <xdr:col>3</xdr:col>
      <xdr:colOff>86344</xdr:colOff>
      <xdr:row>16</xdr:row>
      <xdr:rowOff>119796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0" y="2785041"/>
          <a:ext cx="1915144" cy="50658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June</a:t>
          </a:r>
        </a:p>
      </xdr:txBody>
    </xdr:sp>
    <xdr:clientData/>
  </xdr:twoCellAnchor>
  <xdr:twoCellAnchor>
    <xdr:from>
      <xdr:col>0</xdr:col>
      <xdr:colOff>0</xdr:colOff>
      <xdr:row>16</xdr:row>
      <xdr:rowOff>131305</xdr:rowOff>
    </xdr:from>
    <xdr:to>
      <xdr:col>3</xdr:col>
      <xdr:colOff>86344</xdr:colOff>
      <xdr:row>19</xdr:row>
      <xdr:rowOff>33731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0" y="3303130"/>
          <a:ext cx="1915144" cy="50250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July</a:t>
          </a:r>
        </a:p>
      </xdr:txBody>
    </xdr:sp>
    <xdr:clientData/>
  </xdr:twoCellAnchor>
  <xdr:twoCellAnchor>
    <xdr:from>
      <xdr:col>0</xdr:col>
      <xdr:colOff>0</xdr:colOff>
      <xdr:row>19</xdr:row>
      <xdr:rowOff>6117</xdr:rowOff>
    </xdr:from>
    <xdr:to>
      <xdr:col>3</xdr:col>
      <xdr:colOff>86344</xdr:colOff>
      <xdr:row>21</xdr:row>
      <xdr:rowOff>112648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0" y="3778017"/>
          <a:ext cx="1915144" cy="50658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August</a:t>
          </a:r>
        </a:p>
      </xdr:txBody>
    </xdr:sp>
    <xdr:clientData/>
  </xdr:twoCellAnchor>
  <xdr:twoCellAnchor>
    <xdr:from>
      <xdr:col>0</xdr:col>
      <xdr:colOff>0</xdr:colOff>
      <xdr:row>21</xdr:row>
      <xdr:rowOff>92109</xdr:rowOff>
    </xdr:from>
    <xdr:to>
      <xdr:col>3</xdr:col>
      <xdr:colOff>86344</xdr:colOff>
      <xdr:row>24</xdr:row>
      <xdr:rowOff>37143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0" y="4264059"/>
          <a:ext cx="1915144" cy="54510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September</a:t>
          </a:r>
        </a:p>
      </xdr:txBody>
    </xdr:sp>
    <xdr:clientData/>
  </xdr:twoCellAnchor>
  <xdr:twoCellAnchor>
    <xdr:from>
      <xdr:col>0</xdr:col>
      <xdr:colOff>13607</xdr:colOff>
      <xdr:row>24</xdr:row>
      <xdr:rowOff>40477</xdr:rowOff>
    </xdr:from>
    <xdr:to>
      <xdr:col>3</xdr:col>
      <xdr:colOff>99951</xdr:colOff>
      <xdr:row>26</xdr:row>
      <xdr:rowOff>147010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3607" y="4812502"/>
          <a:ext cx="1915144" cy="5065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October</a:t>
          </a:r>
        </a:p>
      </xdr:txBody>
    </xdr:sp>
    <xdr:clientData/>
  </xdr:twoCellAnchor>
  <xdr:twoCellAnchor>
    <xdr:from>
      <xdr:col>0</xdr:col>
      <xdr:colOff>13608</xdr:colOff>
      <xdr:row>26</xdr:row>
      <xdr:rowOff>154438</xdr:rowOff>
    </xdr:from>
    <xdr:to>
      <xdr:col>3</xdr:col>
      <xdr:colOff>99952</xdr:colOff>
      <xdr:row>29</xdr:row>
      <xdr:rowOff>56862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3608" y="5326513"/>
          <a:ext cx="1915144" cy="51202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November</a:t>
          </a:r>
        </a:p>
      </xdr:txBody>
    </xdr:sp>
    <xdr:clientData/>
  </xdr:twoCellAnchor>
  <xdr:twoCellAnchor>
    <xdr:from>
      <xdr:col>0</xdr:col>
      <xdr:colOff>13608</xdr:colOff>
      <xdr:row>29</xdr:row>
      <xdr:rowOff>52683</xdr:rowOff>
    </xdr:from>
    <xdr:to>
      <xdr:col>3</xdr:col>
      <xdr:colOff>99952</xdr:colOff>
      <xdr:row>32</xdr:row>
      <xdr:rowOff>13606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3608" y="5834358"/>
          <a:ext cx="1915144" cy="5324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80855" y="11906"/>
          <a:ext cx="12249150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598363</xdr:colOff>
      <xdr:row>0</xdr:row>
      <xdr:rowOff>108551</xdr:rowOff>
    </xdr:from>
    <xdr:to>
      <xdr:col>5</xdr:col>
      <xdr:colOff>544286</xdr:colOff>
      <xdr:row>2</xdr:row>
      <xdr:rowOff>62453</xdr:rowOff>
    </xdr:to>
    <xdr:sp macro="" textlink="">
      <xdr:nvSpPr>
        <xdr:cNvPr id="17" name="TextBox 16"/>
        <xdr:cNvSpPr txBox="1"/>
      </xdr:nvSpPr>
      <xdr:spPr>
        <a:xfrm>
          <a:off x="2435327" y="108551"/>
          <a:ext cx="1170566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5</xdr:col>
      <xdr:colOff>542192</xdr:colOff>
      <xdr:row>0</xdr:row>
      <xdr:rowOff>106171</xdr:rowOff>
    </xdr:from>
    <xdr:to>
      <xdr:col>7</xdr:col>
      <xdr:colOff>870856</xdr:colOff>
      <xdr:row>2</xdr:row>
      <xdr:rowOff>62454</xdr:rowOff>
    </xdr:to>
    <xdr:sp macro="" textlink="$H$5">
      <xdr:nvSpPr>
        <xdr:cNvPr id="18" name="TextBox 17"/>
        <xdr:cNvSpPr txBox="1"/>
      </xdr:nvSpPr>
      <xdr:spPr>
        <a:xfrm>
          <a:off x="3603799" y="106171"/>
          <a:ext cx="1553307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01-Mar-2025</a:t>
          </a:fld>
          <a:endParaRPr lang="en-IN" sz="1600" b="1"/>
        </a:p>
      </xdr:txBody>
    </xdr:sp>
    <xdr:clientData/>
  </xdr:twoCellAnchor>
  <xdr:twoCellAnchor>
    <xdr:from>
      <xdr:col>8</xdr:col>
      <xdr:colOff>462643</xdr:colOff>
      <xdr:row>0</xdr:row>
      <xdr:rowOff>85481</xdr:rowOff>
    </xdr:from>
    <xdr:to>
      <xdr:col>9</xdr:col>
      <xdr:colOff>191681</xdr:colOff>
      <xdr:row>2</xdr:row>
      <xdr:rowOff>85481</xdr:rowOff>
    </xdr:to>
    <xdr:sp macro="" textlink="">
      <xdr:nvSpPr>
        <xdr:cNvPr id="19" name="TextBox 18"/>
        <xdr:cNvSpPr txBox="1"/>
      </xdr:nvSpPr>
      <xdr:spPr>
        <a:xfrm>
          <a:off x="5619750" y="85481"/>
          <a:ext cx="980895" cy="381000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9</xdr:col>
      <xdr:colOff>203058</xdr:colOff>
      <xdr:row>0</xdr:row>
      <xdr:rowOff>85482</xdr:rowOff>
    </xdr:from>
    <xdr:to>
      <xdr:col>13</xdr:col>
      <xdr:colOff>40821</xdr:colOff>
      <xdr:row>2</xdr:row>
      <xdr:rowOff>85481</xdr:rowOff>
    </xdr:to>
    <xdr:sp macro="" textlink="$L$5">
      <xdr:nvSpPr>
        <xdr:cNvPr id="20" name="TextBox 19"/>
        <xdr:cNvSpPr txBox="1"/>
      </xdr:nvSpPr>
      <xdr:spPr>
        <a:xfrm>
          <a:off x="6612022" y="85482"/>
          <a:ext cx="1606692" cy="38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31-Mar-2025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13606</xdr:colOff>
      <xdr:row>0</xdr:row>
      <xdr:rowOff>86877</xdr:rowOff>
    </xdr:from>
    <xdr:to>
      <xdr:col>29</xdr:col>
      <xdr:colOff>353784</xdr:colOff>
      <xdr:row>2</xdr:row>
      <xdr:rowOff>99088</xdr:rowOff>
    </xdr:to>
    <xdr:sp macro="" textlink="">
      <xdr:nvSpPr>
        <xdr:cNvPr id="21" name="Rectangle 20"/>
        <xdr:cNvSpPr/>
      </xdr:nvSpPr>
      <xdr:spPr>
        <a:xfrm>
          <a:off x="9171213" y="86877"/>
          <a:ext cx="4490357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149677</xdr:colOff>
      <xdr:row>0</xdr:row>
      <xdr:rowOff>108858</xdr:rowOff>
    </xdr:from>
    <xdr:to>
      <xdr:col>27</xdr:col>
      <xdr:colOff>136071</xdr:colOff>
      <xdr:row>2</xdr:row>
      <xdr:rowOff>54430</xdr:rowOff>
    </xdr:to>
    <xdr:sp macro="" textlink="">
      <xdr:nvSpPr>
        <xdr:cNvPr id="22" name="TextBox 21"/>
        <xdr:cNvSpPr txBox="1"/>
      </xdr:nvSpPr>
      <xdr:spPr>
        <a:xfrm>
          <a:off x="9633856" y="108858"/>
          <a:ext cx="3197679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13607</xdr:colOff>
      <xdr:row>0</xdr:row>
      <xdr:rowOff>122464</xdr:rowOff>
    </xdr:from>
    <xdr:to>
      <xdr:col>29</xdr:col>
      <xdr:colOff>326570</xdr:colOff>
      <xdr:row>2</xdr:row>
      <xdr:rowOff>47450</xdr:rowOff>
    </xdr:to>
    <xdr:sp macro="" textlink="J$5">
      <xdr:nvSpPr>
        <xdr:cNvPr id="23" name="TextBox 22"/>
        <xdr:cNvSpPr txBox="1"/>
      </xdr:nvSpPr>
      <xdr:spPr>
        <a:xfrm>
          <a:off x="12709071" y="122464"/>
          <a:ext cx="925285" cy="305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March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4" name="TextBox 23"/>
        <xdr:cNvSpPr txBox="1"/>
      </xdr:nvSpPr>
      <xdr:spPr>
        <a:xfrm>
          <a:off x="14207128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123512</xdr:colOff>
      <xdr:row>2</xdr:row>
      <xdr:rowOff>35242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4254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16</xdr:col>
      <xdr:colOff>46054</xdr:colOff>
      <xdr:row>0</xdr:row>
      <xdr:rowOff>60732</xdr:rowOff>
    </xdr:from>
    <xdr:to>
      <xdr:col>17</xdr:col>
      <xdr:colOff>272141</xdr:colOff>
      <xdr:row>2</xdr:row>
      <xdr:rowOff>112695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203661" y="60732"/>
          <a:ext cx="539051" cy="432963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27" name="TextBox 26"/>
        <xdr:cNvSpPr txBox="1"/>
      </xdr:nvSpPr>
      <xdr:spPr>
        <a:xfrm>
          <a:off x="15527180" y="106405"/>
          <a:ext cx="899808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28" name="TextBox 27"/>
        <xdr:cNvSpPr txBox="1"/>
      </xdr:nvSpPr>
      <xdr:spPr>
        <a:xfrm>
          <a:off x="16775757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36</xdr:col>
      <xdr:colOff>241436</xdr:colOff>
      <xdr:row>2</xdr:row>
      <xdr:rowOff>61058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16" y="92674"/>
          <a:ext cx="358038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83876</xdr:colOff>
      <xdr:row>2</xdr:row>
      <xdr:rowOff>123513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305" y="29939"/>
          <a:ext cx="335064" cy="474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2" name="Rectangle 1"/>
        <xdr:cNvSpPr/>
      </xdr:nvSpPr>
      <xdr:spPr>
        <a:xfrm>
          <a:off x="1824718" y="9524"/>
          <a:ext cx="16027852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3" name="Rectangle 2"/>
        <xdr:cNvSpPr/>
      </xdr:nvSpPr>
      <xdr:spPr>
        <a:xfrm>
          <a:off x="9525" y="0"/>
          <a:ext cx="1843088" cy="64484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13609</xdr:colOff>
      <xdr:row>1</xdr:row>
      <xdr:rowOff>54428</xdr:rowOff>
    </xdr:from>
    <xdr:to>
      <xdr:col>3</xdr:col>
      <xdr:colOff>95250</xdr:colOff>
      <xdr:row>3</xdr:row>
      <xdr:rowOff>176894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3609" y="244928"/>
          <a:ext cx="1918605" cy="503466"/>
        </a:xfrm>
        <a:prstGeom prst="roundRect">
          <a:avLst>
            <a:gd name="adj" fmla="val 3307"/>
          </a:avLst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5443</xdr:colOff>
      <xdr:row>3</xdr:row>
      <xdr:rowOff>176893</xdr:rowOff>
    </xdr:from>
    <xdr:to>
      <xdr:col>3</xdr:col>
      <xdr:colOff>91787</xdr:colOff>
      <xdr:row>6</xdr:row>
      <xdr:rowOff>81643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5443" y="748393"/>
          <a:ext cx="1923308" cy="4898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6</xdr:row>
      <xdr:rowOff>74158</xdr:rowOff>
    </xdr:from>
    <xdr:to>
      <xdr:col>3</xdr:col>
      <xdr:colOff>86344</xdr:colOff>
      <xdr:row>8</xdr:row>
      <xdr:rowOff>180689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0" y="1230765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March</a:t>
          </a:r>
        </a:p>
      </xdr:txBody>
    </xdr:sp>
    <xdr:clientData/>
  </xdr:twoCellAnchor>
  <xdr:twoCellAnchor>
    <xdr:from>
      <xdr:col>0</xdr:col>
      <xdr:colOff>408210</xdr:colOff>
      <xdr:row>8</xdr:row>
      <xdr:rowOff>196282</xdr:rowOff>
    </xdr:from>
    <xdr:to>
      <xdr:col>3</xdr:col>
      <xdr:colOff>494554</xdr:colOff>
      <xdr:row>11</xdr:row>
      <xdr:rowOff>136071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408210" y="1761103"/>
          <a:ext cx="1923308" cy="552111"/>
        </a:xfrm>
        <a:prstGeom prst="roundRect">
          <a:avLst>
            <a:gd name="adj" fmla="val 50000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rPr>
            <a:t>April</a:t>
          </a:r>
        </a:p>
      </xdr:txBody>
    </xdr:sp>
    <xdr:clientData/>
  </xdr:twoCellAnchor>
  <xdr:twoCellAnchor>
    <xdr:from>
      <xdr:col>0</xdr:col>
      <xdr:colOff>0</xdr:colOff>
      <xdr:row>11</xdr:row>
      <xdr:rowOff>125526</xdr:rowOff>
    </xdr:from>
    <xdr:to>
      <xdr:col>3</xdr:col>
      <xdr:colOff>86344</xdr:colOff>
      <xdr:row>14</xdr:row>
      <xdr:rowOff>9862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0" y="2297226"/>
          <a:ext cx="1915144" cy="48441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May</a:t>
          </a:r>
        </a:p>
      </xdr:txBody>
    </xdr:sp>
    <xdr:clientData/>
  </xdr:twoCellAnchor>
  <xdr:twoCellAnchor>
    <xdr:from>
      <xdr:col>0</xdr:col>
      <xdr:colOff>0</xdr:colOff>
      <xdr:row>14</xdr:row>
      <xdr:rowOff>13266</xdr:rowOff>
    </xdr:from>
    <xdr:to>
      <xdr:col>3</xdr:col>
      <xdr:colOff>86344</xdr:colOff>
      <xdr:row>16</xdr:row>
      <xdr:rowOff>119796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0" y="2785041"/>
          <a:ext cx="1915144" cy="50658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June</a:t>
          </a:r>
        </a:p>
      </xdr:txBody>
    </xdr:sp>
    <xdr:clientData/>
  </xdr:twoCellAnchor>
  <xdr:twoCellAnchor>
    <xdr:from>
      <xdr:col>0</xdr:col>
      <xdr:colOff>0</xdr:colOff>
      <xdr:row>16</xdr:row>
      <xdr:rowOff>131305</xdr:rowOff>
    </xdr:from>
    <xdr:to>
      <xdr:col>3</xdr:col>
      <xdr:colOff>86344</xdr:colOff>
      <xdr:row>19</xdr:row>
      <xdr:rowOff>33731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0" y="3303130"/>
          <a:ext cx="1915144" cy="50250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July</a:t>
          </a:r>
        </a:p>
      </xdr:txBody>
    </xdr:sp>
    <xdr:clientData/>
  </xdr:twoCellAnchor>
  <xdr:twoCellAnchor>
    <xdr:from>
      <xdr:col>0</xdr:col>
      <xdr:colOff>0</xdr:colOff>
      <xdr:row>19</xdr:row>
      <xdr:rowOff>6117</xdr:rowOff>
    </xdr:from>
    <xdr:to>
      <xdr:col>3</xdr:col>
      <xdr:colOff>86344</xdr:colOff>
      <xdr:row>21</xdr:row>
      <xdr:rowOff>112648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0" y="3778017"/>
          <a:ext cx="1915144" cy="50658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August</a:t>
          </a:r>
        </a:p>
      </xdr:txBody>
    </xdr:sp>
    <xdr:clientData/>
  </xdr:twoCellAnchor>
  <xdr:twoCellAnchor>
    <xdr:from>
      <xdr:col>0</xdr:col>
      <xdr:colOff>0</xdr:colOff>
      <xdr:row>21</xdr:row>
      <xdr:rowOff>92109</xdr:rowOff>
    </xdr:from>
    <xdr:to>
      <xdr:col>3</xdr:col>
      <xdr:colOff>86344</xdr:colOff>
      <xdr:row>24</xdr:row>
      <xdr:rowOff>37143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0" y="4264059"/>
          <a:ext cx="1915144" cy="54510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September</a:t>
          </a:r>
        </a:p>
      </xdr:txBody>
    </xdr:sp>
    <xdr:clientData/>
  </xdr:twoCellAnchor>
  <xdr:twoCellAnchor>
    <xdr:from>
      <xdr:col>0</xdr:col>
      <xdr:colOff>13607</xdr:colOff>
      <xdr:row>24</xdr:row>
      <xdr:rowOff>40477</xdr:rowOff>
    </xdr:from>
    <xdr:to>
      <xdr:col>3</xdr:col>
      <xdr:colOff>99951</xdr:colOff>
      <xdr:row>26</xdr:row>
      <xdr:rowOff>147010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3607" y="4812502"/>
          <a:ext cx="1915144" cy="5065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October</a:t>
          </a:r>
        </a:p>
      </xdr:txBody>
    </xdr:sp>
    <xdr:clientData/>
  </xdr:twoCellAnchor>
  <xdr:twoCellAnchor>
    <xdr:from>
      <xdr:col>0</xdr:col>
      <xdr:colOff>13608</xdr:colOff>
      <xdr:row>26</xdr:row>
      <xdr:rowOff>154438</xdr:rowOff>
    </xdr:from>
    <xdr:to>
      <xdr:col>3</xdr:col>
      <xdr:colOff>99952</xdr:colOff>
      <xdr:row>29</xdr:row>
      <xdr:rowOff>56862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3608" y="5326513"/>
          <a:ext cx="1915144" cy="51202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November</a:t>
          </a:r>
        </a:p>
      </xdr:txBody>
    </xdr:sp>
    <xdr:clientData/>
  </xdr:twoCellAnchor>
  <xdr:twoCellAnchor>
    <xdr:from>
      <xdr:col>0</xdr:col>
      <xdr:colOff>13608</xdr:colOff>
      <xdr:row>29</xdr:row>
      <xdr:rowOff>52683</xdr:rowOff>
    </xdr:from>
    <xdr:to>
      <xdr:col>3</xdr:col>
      <xdr:colOff>99952</xdr:colOff>
      <xdr:row>32</xdr:row>
      <xdr:rowOff>13606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3608" y="5834358"/>
          <a:ext cx="1915144" cy="5324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80855" y="11906"/>
          <a:ext cx="12249150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598363</xdr:colOff>
      <xdr:row>0</xdr:row>
      <xdr:rowOff>94944</xdr:rowOff>
    </xdr:from>
    <xdr:to>
      <xdr:col>5</xdr:col>
      <xdr:colOff>366346</xdr:colOff>
      <xdr:row>2</xdr:row>
      <xdr:rowOff>48846</xdr:rowOff>
    </xdr:to>
    <xdr:sp macro="" textlink="">
      <xdr:nvSpPr>
        <xdr:cNvPr id="17" name="TextBox 16"/>
        <xdr:cNvSpPr txBox="1"/>
      </xdr:nvSpPr>
      <xdr:spPr>
        <a:xfrm>
          <a:off x="2427163" y="94944"/>
          <a:ext cx="987183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5</xdr:col>
      <xdr:colOff>270049</xdr:colOff>
      <xdr:row>0</xdr:row>
      <xdr:rowOff>92564</xdr:rowOff>
    </xdr:from>
    <xdr:to>
      <xdr:col>7</xdr:col>
      <xdr:colOff>598713</xdr:colOff>
      <xdr:row>2</xdr:row>
      <xdr:rowOff>48847</xdr:rowOff>
    </xdr:to>
    <xdr:sp macro="" textlink="$H$5">
      <xdr:nvSpPr>
        <xdr:cNvPr id="18" name="TextBox 17"/>
        <xdr:cNvSpPr txBox="1"/>
      </xdr:nvSpPr>
      <xdr:spPr>
        <a:xfrm>
          <a:off x="3331656" y="92564"/>
          <a:ext cx="1553307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01-Apr-2025</a:t>
          </a:fld>
          <a:endParaRPr lang="en-IN" sz="1600" b="1"/>
        </a:p>
      </xdr:txBody>
    </xdr:sp>
    <xdr:clientData/>
  </xdr:twoCellAnchor>
  <xdr:twoCellAnchor>
    <xdr:from>
      <xdr:col>8</xdr:col>
      <xdr:colOff>10466</xdr:colOff>
      <xdr:row>0</xdr:row>
      <xdr:rowOff>99088</xdr:rowOff>
    </xdr:from>
    <xdr:to>
      <xdr:col>8</xdr:col>
      <xdr:colOff>1034143</xdr:colOff>
      <xdr:row>2</xdr:row>
      <xdr:rowOff>68036</xdr:rowOff>
    </xdr:to>
    <xdr:sp macro="" textlink="">
      <xdr:nvSpPr>
        <xdr:cNvPr id="19" name="TextBox 18"/>
        <xdr:cNvSpPr txBox="1"/>
      </xdr:nvSpPr>
      <xdr:spPr>
        <a:xfrm>
          <a:off x="5167573" y="99088"/>
          <a:ext cx="1023677" cy="349948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952500</xdr:colOff>
      <xdr:row>0</xdr:row>
      <xdr:rowOff>81643</xdr:rowOff>
    </xdr:from>
    <xdr:to>
      <xdr:col>12</xdr:col>
      <xdr:colOff>13607</xdr:colOff>
      <xdr:row>2</xdr:row>
      <xdr:rowOff>68036</xdr:rowOff>
    </xdr:to>
    <xdr:sp macro="" textlink="$L$5">
      <xdr:nvSpPr>
        <xdr:cNvPr id="20" name="TextBox 19"/>
        <xdr:cNvSpPr txBox="1"/>
      </xdr:nvSpPr>
      <xdr:spPr>
        <a:xfrm>
          <a:off x="6109607" y="81643"/>
          <a:ext cx="1687286" cy="3673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30-Apr-2025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305984</xdr:colOff>
      <xdr:row>0</xdr:row>
      <xdr:rowOff>86877</xdr:rowOff>
    </xdr:from>
    <xdr:to>
      <xdr:col>28</xdr:col>
      <xdr:colOff>312961</xdr:colOff>
      <xdr:row>2</xdr:row>
      <xdr:rowOff>99088</xdr:rowOff>
    </xdr:to>
    <xdr:sp macro="" textlink="">
      <xdr:nvSpPr>
        <xdr:cNvPr id="21" name="Rectangle 20"/>
        <xdr:cNvSpPr/>
      </xdr:nvSpPr>
      <xdr:spPr>
        <a:xfrm>
          <a:off x="8701591" y="86877"/>
          <a:ext cx="4524549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40819</xdr:colOff>
      <xdr:row>0</xdr:row>
      <xdr:rowOff>122465</xdr:rowOff>
    </xdr:from>
    <xdr:to>
      <xdr:col>25</xdr:col>
      <xdr:colOff>272140</xdr:colOff>
      <xdr:row>2</xdr:row>
      <xdr:rowOff>68037</xdr:rowOff>
    </xdr:to>
    <xdr:sp macro="" textlink="">
      <xdr:nvSpPr>
        <xdr:cNvPr id="22" name="TextBox 21"/>
        <xdr:cNvSpPr txBox="1"/>
      </xdr:nvSpPr>
      <xdr:spPr>
        <a:xfrm>
          <a:off x="9130390" y="122465"/>
          <a:ext cx="3197679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136069</xdr:colOff>
      <xdr:row>0</xdr:row>
      <xdr:rowOff>122464</xdr:rowOff>
    </xdr:from>
    <xdr:to>
      <xdr:col>28</xdr:col>
      <xdr:colOff>54433</xdr:colOff>
      <xdr:row>2</xdr:row>
      <xdr:rowOff>61058</xdr:rowOff>
    </xdr:to>
    <xdr:sp macro="" textlink="J$5">
      <xdr:nvSpPr>
        <xdr:cNvPr id="23" name="TextBox 22"/>
        <xdr:cNvSpPr txBox="1"/>
      </xdr:nvSpPr>
      <xdr:spPr>
        <a:xfrm>
          <a:off x="12191998" y="122464"/>
          <a:ext cx="775614" cy="319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April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4" name="TextBox 23"/>
        <xdr:cNvSpPr txBox="1"/>
      </xdr:nvSpPr>
      <xdr:spPr>
        <a:xfrm>
          <a:off x="14207128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123512</xdr:colOff>
      <xdr:row>2</xdr:row>
      <xdr:rowOff>35242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4254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14</xdr:col>
      <xdr:colOff>318195</xdr:colOff>
      <xdr:row>0</xdr:row>
      <xdr:rowOff>60732</xdr:rowOff>
    </xdr:from>
    <xdr:to>
      <xdr:col>16</xdr:col>
      <xdr:colOff>231318</xdr:colOff>
      <xdr:row>2</xdr:row>
      <xdr:rowOff>112695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713802" y="60732"/>
          <a:ext cx="539051" cy="432963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27" name="TextBox 26"/>
        <xdr:cNvSpPr txBox="1"/>
      </xdr:nvSpPr>
      <xdr:spPr>
        <a:xfrm>
          <a:off x="15527180" y="106405"/>
          <a:ext cx="899808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28" name="TextBox 27"/>
        <xdr:cNvSpPr txBox="1"/>
      </xdr:nvSpPr>
      <xdr:spPr>
        <a:xfrm>
          <a:off x="16775757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36</xdr:col>
      <xdr:colOff>241437</xdr:colOff>
      <xdr:row>2</xdr:row>
      <xdr:rowOff>61058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16" y="92674"/>
          <a:ext cx="358038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83877</xdr:colOff>
      <xdr:row>2</xdr:row>
      <xdr:rowOff>123513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305" y="29939"/>
          <a:ext cx="335064" cy="474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2" name="Rectangle 1"/>
        <xdr:cNvSpPr/>
      </xdr:nvSpPr>
      <xdr:spPr>
        <a:xfrm>
          <a:off x="1819275" y="9524"/>
          <a:ext cx="15853681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3" name="Rectangle 2"/>
        <xdr:cNvSpPr/>
      </xdr:nvSpPr>
      <xdr:spPr>
        <a:xfrm>
          <a:off x="9525" y="0"/>
          <a:ext cx="1843088" cy="64484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27217</xdr:colOff>
      <xdr:row>1</xdr:row>
      <xdr:rowOff>27214</xdr:rowOff>
    </xdr:from>
    <xdr:to>
      <xdr:col>3</xdr:col>
      <xdr:colOff>81643</xdr:colOff>
      <xdr:row>3</xdr:row>
      <xdr:rowOff>147936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27217" y="217714"/>
          <a:ext cx="1891390" cy="501722"/>
        </a:xfrm>
        <a:prstGeom prst="roundRect">
          <a:avLst>
            <a:gd name="adj" fmla="val 976"/>
          </a:avLst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3</xdr:row>
      <xdr:rowOff>144235</xdr:rowOff>
    </xdr:from>
    <xdr:to>
      <xdr:col>3</xdr:col>
      <xdr:colOff>86344</xdr:colOff>
      <xdr:row>6</xdr:row>
      <xdr:rowOff>55785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0" y="715735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6</xdr:row>
      <xdr:rowOff>60550</xdr:rowOff>
    </xdr:from>
    <xdr:to>
      <xdr:col>3</xdr:col>
      <xdr:colOff>86344</xdr:colOff>
      <xdr:row>8</xdr:row>
      <xdr:rowOff>167081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0" y="1217157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March</a:t>
          </a:r>
        </a:p>
      </xdr:txBody>
    </xdr:sp>
    <xdr:clientData/>
  </xdr:twoCellAnchor>
  <xdr:twoCellAnchor>
    <xdr:from>
      <xdr:col>0</xdr:col>
      <xdr:colOff>0</xdr:colOff>
      <xdr:row>8</xdr:row>
      <xdr:rowOff>169068</xdr:rowOff>
    </xdr:from>
    <xdr:to>
      <xdr:col>3</xdr:col>
      <xdr:colOff>86344</xdr:colOff>
      <xdr:row>11</xdr:row>
      <xdr:rowOff>71493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0" y="1733889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April</a:t>
          </a:r>
        </a:p>
      </xdr:txBody>
    </xdr:sp>
    <xdr:clientData/>
  </xdr:twoCellAnchor>
  <xdr:twoCellAnchor>
    <xdr:from>
      <xdr:col>0</xdr:col>
      <xdr:colOff>449035</xdr:colOff>
      <xdr:row>11</xdr:row>
      <xdr:rowOff>71098</xdr:rowOff>
    </xdr:from>
    <xdr:to>
      <xdr:col>3</xdr:col>
      <xdr:colOff>535379</xdr:colOff>
      <xdr:row>14</xdr:row>
      <xdr:rowOff>27215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449035" y="2248241"/>
          <a:ext cx="1923308" cy="568438"/>
        </a:xfrm>
        <a:prstGeom prst="roundRect">
          <a:avLst>
            <a:gd name="adj" fmla="val 50000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rPr>
            <a:t>May</a:t>
          </a:r>
        </a:p>
      </xdr:txBody>
    </xdr:sp>
    <xdr:clientData/>
  </xdr:twoCellAnchor>
  <xdr:twoCellAnchor>
    <xdr:from>
      <xdr:col>0</xdr:col>
      <xdr:colOff>0</xdr:colOff>
      <xdr:row>14</xdr:row>
      <xdr:rowOff>13266</xdr:rowOff>
    </xdr:from>
    <xdr:to>
      <xdr:col>3</xdr:col>
      <xdr:colOff>86344</xdr:colOff>
      <xdr:row>16</xdr:row>
      <xdr:rowOff>119796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0" y="2785041"/>
          <a:ext cx="1915144" cy="50658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June</a:t>
          </a:r>
        </a:p>
      </xdr:txBody>
    </xdr:sp>
    <xdr:clientData/>
  </xdr:twoCellAnchor>
  <xdr:twoCellAnchor>
    <xdr:from>
      <xdr:col>0</xdr:col>
      <xdr:colOff>0</xdr:colOff>
      <xdr:row>16</xdr:row>
      <xdr:rowOff>131305</xdr:rowOff>
    </xdr:from>
    <xdr:to>
      <xdr:col>3</xdr:col>
      <xdr:colOff>86344</xdr:colOff>
      <xdr:row>19</xdr:row>
      <xdr:rowOff>33731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0" y="3303130"/>
          <a:ext cx="1915144" cy="50250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July</a:t>
          </a:r>
        </a:p>
      </xdr:txBody>
    </xdr:sp>
    <xdr:clientData/>
  </xdr:twoCellAnchor>
  <xdr:twoCellAnchor>
    <xdr:from>
      <xdr:col>0</xdr:col>
      <xdr:colOff>0</xdr:colOff>
      <xdr:row>19</xdr:row>
      <xdr:rowOff>6117</xdr:rowOff>
    </xdr:from>
    <xdr:to>
      <xdr:col>3</xdr:col>
      <xdr:colOff>86344</xdr:colOff>
      <xdr:row>21</xdr:row>
      <xdr:rowOff>112648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0" y="3778017"/>
          <a:ext cx="1915144" cy="50658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August</a:t>
          </a:r>
        </a:p>
      </xdr:txBody>
    </xdr:sp>
    <xdr:clientData/>
  </xdr:twoCellAnchor>
  <xdr:twoCellAnchor>
    <xdr:from>
      <xdr:col>0</xdr:col>
      <xdr:colOff>0</xdr:colOff>
      <xdr:row>21</xdr:row>
      <xdr:rowOff>92109</xdr:rowOff>
    </xdr:from>
    <xdr:to>
      <xdr:col>3</xdr:col>
      <xdr:colOff>86344</xdr:colOff>
      <xdr:row>24</xdr:row>
      <xdr:rowOff>37143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0" y="4264059"/>
          <a:ext cx="1915144" cy="54510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September</a:t>
          </a:r>
        </a:p>
      </xdr:txBody>
    </xdr:sp>
    <xdr:clientData/>
  </xdr:twoCellAnchor>
  <xdr:twoCellAnchor>
    <xdr:from>
      <xdr:col>0</xdr:col>
      <xdr:colOff>13607</xdr:colOff>
      <xdr:row>24</xdr:row>
      <xdr:rowOff>40477</xdr:rowOff>
    </xdr:from>
    <xdr:to>
      <xdr:col>3</xdr:col>
      <xdr:colOff>99951</xdr:colOff>
      <xdr:row>26</xdr:row>
      <xdr:rowOff>147010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3607" y="4812502"/>
          <a:ext cx="1915144" cy="5065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October</a:t>
          </a:r>
        </a:p>
      </xdr:txBody>
    </xdr:sp>
    <xdr:clientData/>
  </xdr:twoCellAnchor>
  <xdr:twoCellAnchor>
    <xdr:from>
      <xdr:col>0</xdr:col>
      <xdr:colOff>13608</xdr:colOff>
      <xdr:row>26</xdr:row>
      <xdr:rowOff>154438</xdr:rowOff>
    </xdr:from>
    <xdr:to>
      <xdr:col>3</xdr:col>
      <xdr:colOff>99952</xdr:colOff>
      <xdr:row>29</xdr:row>
      <xdr:rowOff>56862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3608" y="5326513"/>
          <a:ext cx="1915144" cy="51202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November</a:t>
          </a:r>
        </a:p>
      </xdr:txBody>
    </xdr:sp>
    <xdr:clientData/>
  </xdr:twoCellAnchor>
  <xdr:twoCellAnchor>
    <xdr:from>
      <xdr:col>0</xdr:col>
      <xdr:colOff>13608</xdr:colOff>
      <xdr:row>29</xdr:row>
      <xdr:rowOff>52683</xdr:rowOff>
    </xdr:from>
    <xdr:to>
      <xdr:col>3</xdr:col>
      <xdr:colOff>99952</xdr:colOff>
      <xdr:row>32</xdr:row>
      <xdr:rowOff>13606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3608" y="5834358"/>
          <a:ext cx="1915144" cy="5324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80855" y="11906"/>
          <a:ext cx="12249150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598362</xdr:colOff>
      <xdr:row>0</xdr:row>
      <xdr:rowOff>94944</xdr:rowOff>
    </xdr:from>
    <xdr:to>
      <xdr:col>5</xdr:col>
      <xdr:colOff>530678</xdr:colOff>
      <xdr:row>2</xdr:row>
      <xdr:rowOff>48846</xdr:rowOff>
    </xdr:to>
    <xdr:sp macro="" textlink="">
      <xdr:nvSpPr>
        <xdr:cNvPr id="17" name="TextBox 16"/>
        <xdr:cNvSpPr txBox="1"/>
      </xdr:nvSpPr>
      <xdr:spPr>
        <a:xfrm>
          <a:off x="2435326" y="94944"/>
          <a:ext cx="1156959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5</xdr:col>
      <xdr:colOff>528585</xdr:colOff>
      <xdr:row>0</xdr:row>
      <xdr:rowOff>92564</xdr:rowOff>
    </xdr:from>
    <xdr:to>
      <xdr:col>7</xdr:col>
      <xdr:colOff>857249</xdr:colOff>
      <xdr:row>2</xdr:row>
      <xdr:rowOff>48847</xdr:rowOff>
    </xdr:to>
    <xdr:sp macro="" textlink="$H$5">
      <xdr:nvSpPr>
        <xdr:cNvPr id="18" name="TextBox 17"/>
        <xdr:cNvSpPr txBox="1"/>
      </xdr:nvSpPr>
      <xdr:spPr>
        <a:xfrm>
          <a:off x="3590192" y="92564"/>
          <a:ext cx="1553307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01-May-2025</a:t>
          </a:fld>
          <a:endParaRPr lang="en-IN" sz="1600" b="1"/>
        </a:p>
      </xdr:txBody>
    </xdr:sp>
    <xdr:clientData/>
  </xdr:twoCellAnchor>
  <xdr:twoCellAnchor>
    <xdr:from>
      <xdr:col>8</xdr:col>
      <xdr:colOff>612323</xdr:colOff>
      <xdr:row>0</xdr:row>
      <xdr:rowOff>85481</xdr:rowOff>
    </xdr:from>
    <xdr:to>
      <xdr:col>9</xdr:col>
      <xdr:colOff>368574</xdr:colOff>
      <xdr:row>2</xdr:row>
      <xdr:rowOff>85481</xdr:rowOff>
    </xdr:to>
    <xdr:sp macro="" textlink="">
      <xdr:nvSpPr>
        <xdr:cNvPr id="19" name="TextBox 18"/>
        <xdr:cNvSpPr txBox="1"/>
      </xdr:nvSpPr>
      <xdr:spPr>
        <a:xfrm>
          <a:off x="5769430" y="85481"/>
          <a:ext cx="1008108" cy="381000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9</xdr:col>
      <xdr:colOff>339130</xdr:colOff>
      <xdr:row>0</xdr:row>
      <xdr:rowOff>85482</xdr:rowOff>
    </xdr:from>
    <xdr:to>
      <xdr:col>13</xdr:col>
      <xdr:colOff>272143</xdr:colOff>
      <xdr:row>2</xdr:row>
      <xdr:rowOff>85481</xdr:rowOff>
    </xdr:to>
    <xdr:sp macro="" textlink="$L$5">
      <xdr:nvSpPr>
        <xdr:cNvPr id="20" name="TextBox 19"/>
        <xdr:cNvSpPr txBox="1"/>
      </xdr:nvSpPr>
      <xdr:spPr>
        <a:xfrm>
          <a:off x="6748094" y="85482"/>
          <a:ext cx="1606692" cy="38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31-May-2025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13607</xdr:colOff>
      <xdr:row>0</xdr:row>
      <xdr:rowOff>86877</xdr:rowOff>
    </xdr:from>
    <xdr:to>
      <xdr:col>29</xdr:col>
      <xdr:colOff>353785</xdr:colOff>
      <xdr:row>2</xdr:row>
      <xdr:rowOff>99088</xdr:rowOff>
    </xdr:to>
    <xdr:sp macro="" textlink="">
      <xdr:nvSpPr>
        <xdr:cNvPr id="21" name="Rectangle 20"/>
        <xdr:cNvSpPr/>
      </xdr:nvSpPr>
      <xdr:spPr>
        <a:xfrm>
          <a:off x="9075964" y="86877"/>
          <a:ext cx="4490357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367390</xdr:colOff>
      <xdr:row>0</xdr:row>
      <xdr:rowOff>108858</xdr:rowOff>
    </xdr:from>
    <xdr:to>
      <xdr:col>28</xdr:col>
      <xdr:colOff>68034</xdr:colOff>
      <xdr:row>2</xdr:row>
      <xdr:rowOff>54430</xdr:rowOff>
    </xdr:to>
    <xdr:sp macro="" textlink="">
      <xdr:nvSpPr>
        <xdr:cNvPr id="22" name="TextBox 21"/>
        <xdr:cNvSpPr txBox="1"/>
      </xdr:nvSpPr>
      <xdr:spPr>
        <a:xfrm>
          <a:off x="9756319" y="108858"/>
          <a:ext cx="3197679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231322</xdr:colOff>
      <xdr:row>0</xdr:row>
      <xdr:rowOff>122463</xdr:rowOff>
    </xdr:from>
    <xdr:to>
      <xdr:col>29</xdr:col>
      <xdr:colOff>326572</xdr:colOff>
      <xdr:row>2</xdr:row>
      <xdr:rowOff>47450</xdr:rowOff>
    </xdr:to>
    <xdr:sp macro="" textlink="J$5">
      <xdr:nvSpPr>
        <xdr:cNvPr id="23" name="TextBox 22"/>
        <xdr:cNvSpPr txBox="1"/>
      </xdr:nvSpPr>
      <xdr:spPr>
        <a:xfrm>
          <a:off x="12831536" y="122463"/>
          <a:ext cx="707572" cy="305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May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4" name="TextBox 23"/>
        <xdr:cNvSpPr txBox="1"/>
      </xdr:nvSpPr>
      <xdr:spPr>
        <a:xfrm>
          <a:off x="14207128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55476</xdr:colOff>
      <xdr:row>2</xdr:row>
      <xdr:rowOff>35242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4254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16</xdr:col>
      <xdr:colOff>127699</xdr:colOff>
      <xdr:row>0</xdr:row>
      <xdr:rowOff>74339</xdr:rowOff>
    </xdr:from>
    <xdr:to>
      <xdr:col>17</xdr:col>
      <xdr:colOff>340179</xdr:colOff>
      <xdr:row>2</xdr:row>
      <xdr:rowOff>126302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190056" y="74339"/>
          <a:ext cx="539051" cy="432963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27" name="TextBox 26"/>
        <xdr:cNvSpPr txBox="1"/>
      </xdr:nvSpPr>
      <xdr:spPr>
        <a:xfrm>
          <a:off x="15527180" y="106405"/>
          <a:ext cx="899808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28" name="TextBox 27"/>
        <xdr:cNvSpPr txBox="1"/>
      </xdr:nvSpPr>
      <xdr:spPr>
        <a:xfrm>
          <a:off x="16775757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36</xdr:col>
      <xdr:colOff>227829</xdr:colOff>
      <xdr:row>2</xdr:row>
      <xdr:rowOff>61058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16" y="92674"/>
          <a:ext cx="358038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70270</xdr:colOff>
      <xdr:row>2</xdr:row>
      <xdr:rowOff>123513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305" y="29939"/>
          <a:ext cx="335064" cy="474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2" name="Rectangle 1"/>
        <xdr:cNvSpPr/>
      </xdr:nvSpPr>
      <xdr:spPr>
        <a:xfrm>
          <a:off x="1819275" y="9524"/>
          <a:ext cx="15853681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3" name="Rectangle 2"/>
        <xdr:cNvSpPr/>
      </xdr:nvSpPr>
      <xdr:spPr>
        <a:xfrm>
          <a:off x="9525" y="0"/>
          <a:ext cx="1843088" cy="64484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</xdr:row>
      <xdr:rowOff>54429</xdr:rowOff>
    </xdr:from>
    <xdr:to>
      <xdr:col>3</xdr:col>
      <xdr:colOff>95250</xdr:colOff>
      <xdr:row>3</xdr:row>
      <xdr:rowOff>122464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0" y="244929"/>
          <a:ext cx="1932214" cy="449035"/>
        </a:xfrm>
        <a:prstGeom prst="roundRect">
          <a:avLst>
            <a:gd name="adj" fmla="val 0"/>
          </a:avLst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3</xdr:row>
      <xdr:rowOff>117021</xdr:rowOff>
    </xdr:from>
    <xdr:to>
      <xdr:col>3</xdr:col>
      <xdr:colOff>86344</xdr:colOff>
      <xdr:row>6</xdr:row>
      <xdr:rowOff>28571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0" y="688521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6</xdr:row>
      <xdr:rowOff>46943</xdr:rowOff>
    </xdr:from>
    <xdr:to>
      <xdr:col>3</xdr:col>
      <xdr:colOff>86344</xdr:colOff>
      <xdr:row>8</xdr:row>
      <xdr:rowOff>153474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0" y="1203550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March</a:t>
          </a:r>
        </a:p>
      </xdr:txBody>
    </xdr:sp>
    <xdr:clientData/>
  </xdr:twoCellAnchor>
  <xdr:twoCellAnchor>
    <xdr:from>
      <xdr:col>0</xdr:col>
      <xdr:colOff>0</xdr:colOff>
      <xdr:row>8</xdr:row>
      <xdr:rowOff>155461</xdr:rowOff>
    </xdr:from>
    <xdr:to>
      <xdr:col>3</xdr:col>
      <xdr:colOff>86344</xdr:colOff>
      <xdr:row>11</xdr:row>
      <xdr:rowOff>57886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0" y="1720282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April</a:t>
          </a:r>
        </a:p>
      </xdr:txBody>
    </xdr:sp>
    <xdr:clientData/>
  </xdr:twoCellAnchor>
  <xdr:twoCellAnchor>
    <xdr:from>
      <xdr:col>0</xdr:col>
      <xdr:colOff>0</xdr:colOff>
      <xdr:row>11</xdr:row>
      <xdr:rowOff>57490</xdr:rowOff>
    </xdr:from>
    <xdr:to>
      <xdr:col>3</xdr:col>
      <xdr:colOff>86344</xdr:colOff>
      <xdr:row>13</xdr:row>
      <xdr:rowOff>145933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0" y="2234633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May</a:t>
          </a:r>
        </a:p>
      </xdr:txBody>
    </xdr:sp>
    <xdr:clientData/>
  </xdr:twoCellAnchor>
  <xdr:twoCellAnchor>
    <xdr:from>
      <xdr:col>1</xdr:col>
      <xdr:colOff>13607</xdr:colOff>
      <xdr:row>13</xdr:row>
      <xdr:rowOff>149679</xdr:rowOff>
    </xdr:from>
    <xdr:to>
      <xdr:col>4</xdr:col>
      <xdr:colOff>99950</xdr:colOff>
      <xdr:row>16</xdr:row>
      <xdr:rowOff>119796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625928" y="2735036"/>
          <a:ext cx="1923308" cy="582439"/>
        </a:xfrm>
        <a:prstGeom prst="roundRect">
          <a:avLst>
            <a:gd name="adj" fmla="val 50000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rPr>
            <a:t>June</a:t>
          </a:r>
        </a:p>
      </xdr:txBody>
    </xdr:sp>
    <xdr:clientData/>
  </xdr:twoCellAnchor>
  <xdr:twoCellAnchor>
    <xdr:from>
      <xdr:col>0</xdr:col>
      <xdr:colOff>0</xdr:colOff>
      <xdr:row>16</xdr:row>
      <xdr:rowOff>131305</xdr:rowOff>
    </xdr:from>
    <xdr:to>
      <xdr:col>3</xdr:col>
      <xdr:colOff>86344</xdr:colOff>
      <xdr:row>19</xdr:row>
      <xdr:rowOff>33731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0" y="3303130"/>
          <a:ext cx="1915144" cy="50250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July</a:t>
          </a:r>
        </a:p>
      </xdr:txBody>
    </xdr:sp>
    <xdr:clientData/>
  </xdr:twoCellAnchor>
  <xdr:twoCellAnchor>
    <xdr:from>
      <xdr:col>0</xdr:col>
      <xdr:colOff>0</xdr:colOff>
      <xdr:row>19</xdr:row>
      <xdr:rowOff>6117</xdr:rowOff>
    </xdr:from>
    <xdr:to>
      <xdr:col>3</xdr:col>
      <xdr:colOff>86344</xdr:colOff>
      <xdr:row>21</xdr:row>
      <xdr:rowOff>112648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0" y="3778017"/>
          <a:ext cx="1915144" cy="50658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August</a:t>
          </a:r>
        </a:p>
      </xdr:txBody>
    </xdr:sp>
    <xdr:clientData/>
  </xdr:twoCellAnchor>
  <xdr:twoCellAnchor>
    <xdr:from>
      <xdr:col>0</xdr:col>
      <xdr:colOff>0</xdr:colOff>
      <xdr:row>21</xdr:row>
      <xdr:rowOff>92109</xdr:rowOff>
    </xdr:from>
    <xdr:to>
      <xdr:col>3</xdr:col>
      <xdr:colOff>86344</xdr:colOff>
      <xdr:row>24</xdr:row>
      <xdr:rowOff>37143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0" y="4264059"/>
          <a:ext cx="1915144" cy="54510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September</a:t>
          </a:r>
        </a:p>
      </xdr:txBody>
    </xdr:sp>
    <xdr:clientData/>
  </xdr:twoCellAnchor>
  <xdr:twoCellAnchor>
    <xdr:from>
      <xdr:col>0</xdr:col>
      <xdr:colOff>13607</xdr:colOff>
      <xdr:row>24</xdr:row>
      <xdr:rowOff>40477</xdr:rowOff>
    </xdr:from>
    <xdr:to>
      <xdr:col>3</xdr:col>
      <xdr:colOff>99951</xdr:colOff>
      <xdr:row>26</xdr:row>
      <xdr:rowOff>147010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3607" y="4812502"/>
          <a:ext cx="1915144" cy="5065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October</a:t>
          </a:r>
        </a:p>
      </xdr:txBody>
    </xdr:sp>
    <xdr:clientData/>
  </xdr:twoCellAnchor>
  <xdr:twoCellAnchor>
    <xdr:from>
      <xdr:col>0</xdr:col>
      <xdr:colOff>13608</xdr:colOff>
      <xdr:row>26</xdr:row>
      <xdr:rowOff>154438</xdr:rowOff>
    </xdr:from>
    <xdr:to>
      <xdr:col>3</xdr:col>
      <xdr:colOff>99952</xdr:colOff>
      <xdr:row>29</xdr:row>
      <xdr:rowOff>56862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3608" y="5326513"/>
          <a:ext cx="1915144" cy="51202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November</a:t>
          </a:r>
        </a:p>
      </xdr:txBody>
    </xdr:sp>
    <xdr:clientData/>
  </xdr:twoCellAnchor>
  <xdr:twoCellAnchor>
    <xdr:from>
      <xdr:col>0</xdr:col>
      <xdr:colOff>13608</xdr:colOff>
      <xdr:row>29</xdr:row>
      <xdr:rowOff>52683</xdr:rowOff>
    </xdr:from>
    <xdr:to>
      <xdr:col>3</xdr:col>
      <xdr:colOff>99952</xdr:colOff>
      <xdr:row>32</xdr:row>
      <xdr:rowOff>13606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3608" y="5834358"/>
          <a:ext cx="1915144" cy="5324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80855" y="11906"/>
          <a:ext cx="12249150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598363</xdr:colOff>
      <xdr:row>0</xdr:row>
      <xdr:rowOff>94944</xdr:rowOff>
    </xdr:from>
    <xdr:to>
      <xdr:col>5</xdr:col>
      <xdr:colOff>544286</xdr:colOff>
      <xdr:row>2</xdr:row>
      <xdr:rowOff>48846</xdr:rowOff>
    </xdr:to>
    <xdr:sp macro="" textlink="">
      <xdr:nvSpPr>
        <xdr:cNvPr id="17" name="TextBox 16"/>
        <xdr:cNvSpPr txBox="1"/>
      </xdr:nvSpPr>
      <xdr:spPr>
        <a:xfrm>
          <a:off x="2435327" y="94944"/>
          <a:ext cx="1170566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5</xdr:col>
      <xdr:colOff>555799</xdr:colOff>
      <xdr:row>0</xdr:row>
      <xdr:rowOff>92564</xdr:rowOff>
    </xdr:from>
    <xdr:to>
      <xdr:col>8</xdr:col>
      <xdr:colOff>13606</xdr:colOff>
      <xdr:row>2</xdr:row>
      <xdr:rowOff>48847</xdr:rowOff>
    </xdr:to>
    <xdr:sp macro="" textlink="$H$5">
      <xdr:nvSpPr>
        <xdr:cNvPr id="18" name="TextBox 17"/>
        <xdr:cNvSpPr txBox="1"/>
      </xdr:nvSpPr>
      <xdr:spPr>
        <a:xfrm>
          <a:off x="3617406" y="92564"/>
          <a:ext cx="1553307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01-Jun-2025</a:t>
          </a:fld>
          <a:endParaRPr lang="en-IN" sz="1600" b="1"/>
        </a:p>
      </xdr:txBody>
    </xdr:sp>
    <xdr:clientData/>
  </xdr:twoCellAnchor>
  <xdr:twoCellAnchor>
    <xdr:from>
      <xdr:col>8</xdr:col>
      <xdr:colOff>517073</xdr:colOff>
      <xdr:row>0</xdr:row>
      <xdr:rowOff>71874</xdr:rowOff>
    </xdr:from>
    <xdr:to>
      <xdr:col>9</xdr:col>
      <xdr:colOff>246110</xdr:colOff>
      <xdr:row>2</xdr:row>
      <xdr:rowOff>71874</xdr:rowOff>
    </xdr:to>
    <xdr:sp macro="" textlink="">
      <xdr:nvSpPr>
        <xdr:cNvPr id="19" name="TextBox 18"/>
        <xdr:cNvSpPr txBox="1"/>
      </xdr:nvSpPr>
      <xdr:spPr>
        <a:xfrm>
          <a:off x="5674180" y="71874"/>
          <a:ext cx="980894" cy="381000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9</xdr:col>
      <xdr:colOff>244928</xdr:colOff>
      <xdr:row>0</xdr:row>
      <xdr:rowOff>71875</xdr:rowOff>
    </xdr:from>
    <xdr:to>
      <xdr:col>13</xdr:col>
      <xdr:colOff>27214</xdr:colOff>
      <xdr:row>2</xdr:row>
      <xdr:rowOff>71874</xdr:rowOff>
    </xdr:to>
    <xdr:sp macro="" textlink="$L$5">
      <xdr:nvSpPr>
        <xdr:cNvPr id="20" name="TextBox 19"/>
        <xdr:cNvSpPr txBox="1"/>
      </xdr:nvSpPr>
      <xdr:spPr>
        <a:xfrm>
          <a:off x="6653892" y="71875"/>
          <a:ext cx="1483179" cy="38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30-Jun-2025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326571</xdr:colOff>
      <xdr:row>0</xdr:row>
      <xdr:rowOff>86877</xdr:rowOff>
    </xdr:from>
    <xdr:to>
      <xdr:col>29</xdr:col>
      <xdr:colOff>353785</xdr:colOff>
      <xdr:row>2</xdr:row>
      <xdr:rowOff>99088</xdr:rowOff>
    </xdr:to>
    <xdr:sp macro="" textlink="">
      <xdr:nvSpPr>
        <xdr:cNvPr id="21" name="Rectangle 20"/>
        <xdr:cNvSpPr/>
      </xdr:nvSpPr>
      <xdr:spPr>
        <a:xfrm>
          <a:off x="9048750" y="86877"/>
          <a:ext cx="4544785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312962</xdr:colOff>
      <xdr:row>0</xdr:row>
      <xdr:rowOff>95251</xdr:rowOff>
    </xdr:from>
    <xdr:to>
      <xdr:col>28</xdr:col>
      <xdr:colOff>13605</xdr:colOff>
      <xdr:row>2</xdr:row>
      <xdr:rowOff>40823</xdr:rowOff>
    </xdr:to>
    <xdr:sp macro="" textlink="">
      <xdr:nvSpPr>
        <xdr:cNvPr id="22" name="TextBox 21"/>
        <xdr:cNvSpPr txBox="1"/>
      </xdr:nvSpPr>
      <xdr:spPr>
        <a:xfrm>
          <a:off x="9729105" y="95251"/>
          <a:ext cx="3197679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244928</xdr:colOff>
      <xdr:row>0</xdr:row>
      <xdr:rowOff>149679</xdr:rowOff>
    </xdr:from>
    <xdr:to>
      <xdr:col>29</xdr:col>
      <xdr:colOff>204107</xdr:colOff>
      <xdr:row>2</xdr:row>
      <xdr:rowOff>33843</xdr:rowOff>
    </xdr:to>
    <xdr:sp macro="" textlink="J$5">
      <xdr:nvSpPr>
        <xdr:cNvPr id="23" name="TextBox 22"/>
        <xdr:cNvSpPr txBox="1"/>
      </xdr:nvSpPr>
      <xdr:spPr>
        <a:xfrm>
          <a:off x="11947071" y="149679"/>
          <a:ext cx="775607" cy="2651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June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4" name="TextBox 23"/>
        <xdr:cNvSpPr txBox="1"/>
      </xdr:nvSpPr>
      <xdr:spPr>
        <a:xfrm>
          <a:off x="14207128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164333</xdr:colOff>
      <xdr:row>2</xdr:row>
      <xdr:rowOff>35242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4254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16</xdr:col>
      <xdr:colOff>149678</xdr:colOff>
      <xdr:row>0</xdr:row>
      <xdr:rowOff>74339</xdr:rowOff>
    </xdr:from>
    <xdr:to>
      <xdr:col>18</xdr:col>
      <xdr:colOff>81641</xdr:colOff>
      <xdr:row>2</xdr:row>
      <xdr:rowOff>126302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239249" y="74339"/>
          <a:ext cx="476249" cy="432963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27" name="TextBox 26"/>
        <xdr:cNvSpPr txBox="1"/>
      </xdr:nvSpPr>
      <xdr:spPr>
        <a:xfrm>
          <a:off x="15527180" y="106405"/>
          <a:ext cx="899808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28" name="TextBox 27"/>
        <xdr:cNvSpPr txBox="1"/>
      </xdr:nvSpPr>
      <xdr:spPr>
        <a:xfrm>
          <a:off x="16775757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37</xdr:col>
      <xdr:colOff>10116</xdr:colOff>
      <xdr:row>2</xdr:row>
      <xdr:rowOff>61058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16" y="92674"/>
          <a:ext cx="358038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124699</xdr:colOff>
      <xdr:row>2</xdr:row>
      <xdr:rowOff>123513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305" y="29939"/>
          <a:ext cx="335064" cy="474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2" name="Rectangle 1"/>
        <xdr:cNvSpPr/>
      </xdr:nvSpPr>
      <xdr:spPr>
        <a:xfrm>
          <a:off x="1819275" y="9524"/>
          <a:ext cx="15853681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3" name="Rectangle 2"/>
        <xdr:cNvSpPr/>
      </xdr:nvSpPr>
      <xdr:spPr>
        <a:xfrm>
          <a:off x="9525" y="0"/>
          <a:ext cx="1843088" cy="64484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</xdr:row>
      <xdr:rowOff>1</xdr:rowOff>
    </xdr:from>
    <xdr:to>
      <xdr:col>3</xdr:col>
      <xdr:colOff>81643</xdr:colOff>
      <xdr:row>3</xdr:row>
      <xdr:rowOff>68037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0" y="190501"/>
          <a:ext cx="1918607" cy="449036"/>
        </a:xfrm>
        <a:prstGeom prst="roundRect">
          <a:avLst>
            <a:gd name="adj" fmla="val 3307"/>
          </a:avLst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5443</xdr:colOff>
      <xdr:row>3</xdr:row>
      <xdr:rowOff>76201</xdr:rowOff>
    </xdr:from>
    <xdr:to>
      <xdr:col>3</xdr:col>
      <xdr:colOff>91787</xdr:colOff>
      <xdr:row>5</xdr:row>
      <xdr:rowOff>191858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5443" y="647701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6</xdr:row>
      <xdr:rowOff>6123</xdr:rowOff>
    </xdr:from>
    <xdr:to>
      <xdr:col>3</xdr:col>
      <xdr:colOff>86344</xdr:colOff>
      <xdr:row>8</xdr:row>
      <xdr:rowOff>112654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0" y="1162730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March</a:t>
          </a:r>
        </a:p>
      </xdr:txBody>
    </xdr:sp>
    <xdr:clientData/>
  </xdr:twoCellAnchor>
  <xdr:twoCellAnchor>
    <xdr:from>
      <xdr:col>0</xdr:col>
      <xdr:colOff>0</xdr:colOff>
      <xdr:row>8</xdr:row>
      <xdr:rowOff>128247</xdr:rowOff>
    </xdr:from>
    <xdr:to>
      <xdr:col>3</xdr:col>
      <xdr:colOff>86344</xdr:colOff>
      <xdr:row>11</xdr:row>
      <xdr:rowOff>30672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0" y="1693068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April</a:t>
          </a:r>
        </a:p>
      </xdr:txBody>
    </xdr:sp>
    <xdr:clientData/>
  </xdr:twoCellAnchor>
  <xdr:twoCellAnchor>
    <xdr:from>
      <xdr:col>0</xdr:col>
      <xdr:colOff>0</xdr:colOff>
      <xdr:row>11</xdr:row>
      <xdr:rowOff>43884</xdr:rowOff>
    </xdr:from>
    <xdr:to>
      <xdr:col>3</xdr:col>
      <xdr:colOff>86344</xdr:colOff>
      <xdr:row>13</xdr:row>
      <xdr:rowOff>132327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0" y="2221027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May</a:t>
          </a:r>
        </a:p>
      </xdr:txBody>
    </xdr:sp>
    <xdr:clientData/>
  </xdr:twoCellAnchor>
  <xdr:twoCellAnchor>
    <xdr:from>
      <xdr:col>0</xdr:col>
      <xdr:colOff>0</xdr:colOff>
      <xdr:row>13</xdr:row>
      <xdr:rowOff>149338</xdr:rowOff>
    </xdr:from>
    <xdr:to>
      <xdr:col>3</xdr:col>
      <xdr:colOff>86344</xdr:colOff>
      <xdr:row>16</xdr:row>
      <xdr:rowOff>51761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0" y="2734695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June</a:t>
          </a:r>
        </a:p>
      </xdr:txBody>
    </xdr:sp>
    <xdr:clientData/>
  </xdr:twoCellAnchor>
  <xdr:twoCellAnchor>
    <xdr:from>
      <xdr:col>0</xdr:col>
      <xdr:colOff>449031</xdr:colOff>
      <xdr:row>16</xdr:row>
      <xdr:rowOff>68035</xdr:rowOff>
    </xdr:from>
    <xdr:to>
      <xdr:col>3</xdr:col>
      <xdr:colOff>535375</xdr:colOff>
      <xdr:row>19</xdr:row>
      <xdr:rowOff>0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449031" y="3265714"/>
          <a:ext cx="1923308" cy="544286"/>
        </a:xfrm>
        <a:prstGeom prst="roundRect">
          <a:avLst>
            <a:gd name="adj" fmla="val 50000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rPr>
            <a:t>July</a:t>
          </a:r>
        </a:p>
      </xdr:txBody>
    </xdr:sp>
    <xdr:clientData/>
  </xdr:twoCellAnchor>
  <xdr:twoCellAnchor>
    <xdr:from>
      <xdr:col>0</xdr:col>
      <xdr:colOff>0</xdr:colOff>
      <xdr:row>19</xdr:row>
      <xdr:rowOff>6117</xdr:rowOff>
    </xdr:from>
    <xdr:to>
      <xdr:col>3</xdr:col>
      <xdr:colOff>86344</xdr:colOff>
      <xdr:row>21</xdr:row>
      <xdr:rowOff>112648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0" y="3778017"/>
          <a:ext cx="1915144" cy="50658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August</a:t>
          </a:r>
        </a:p>
      </xdr:txBody>
    </xdr:sp>
    <xdr:clientData/>
  </xdr:twoCellAnchor>
  <xdr:twoCellAnchor>
    <xdr:from>
      <xdr:col>0</xdr:col>
      <xdr:colOff>0</xdr:colOff>
      <xdr:row>21</xdr:row>
      <xdr:rowOff>92109</xdr:rowOff>
    </xdr:from>
    <xdr:to>
      <xdr:col>3</xdr:col>
      <xdr:colOff>86344</xdr:colOff>
      <xdr:row>24</xdr:row>
      <xdr:rowOff>37143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0" y="4264059"/>
          <a:ext cx="1915144" cy="545109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September</a:t>
          </a:r>
        </a:p>
      </xdr:txBody>
    </xdr:sp>
    <xdr:clientData/>
  </xdr:twoCellAnchor>
  <xdr:twoCellAnchor>
    <xdr:from>
      <xdr:col>0</xdr:col>
      <xdr:colOff>13607</xdr:colOff>
      <xdr:row>24</xdr:row>
      <xdr:rowOff>40477</xdr:rowOff>
    </xdr:from>
    <xdr:to>
      <xdr:col>3</xdr:col>
      <xdr:colOff>99951</xdr:colOff>
      <xdr:row>26</xdr:row>
      <xdr:rowOff>147010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3607" y="4812502"/>
          <a:ext cx="1915144" cy="5065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October</a:t>
          </a:r>
        </a:p>
      </xdr:txBody>
    </xdr:sp>
    <xdr:clientData/>
  </xdr:twoCellAnchor>
  <xdr:twoCellAnchor>
    <xdr:from>
      <xdr:col>0</xdr:col>
      <xdr:colOff>13608</xdr:colOff>
      <xdr:row>26</xdr:row>
      <xdr:rowOff>154438</xdr:rowOff>
    </xdr:from>
    <xdr:to>
      <xdr:col>3</xdr:col>
      <xdr:colOff>99952</xdr:colOff>
      <xdr:row>29</xdr:row>
      <xdr:rowOff>56862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3608" y="5326513"/>
          <a:ext cx="1915144" cy="51202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November</a:t>
          </a:r>
        </a:p>
      </xdr:txBody>
    </xdr:sp>
    <xdr:clientData/>
  </xdr:twoCellAnchor>
  <xdr:twoCellAnchor>
    <xdr:from>
      <xdr:col>0</xdr:col>
      <xdr:colOff>13608</xdr:colOff>
      <xdr:row>29</xdr:row>
      <xdr:rowOff>52683</xdr:rowOff>
    </xdr:from>
    <xdr:to>
      <xdr:col>3</xdr:col>
      <xdr:colOff>99952</xdr:colOff>
      <xdr:row>32</xdr:row>
      <xdr:rowOff>13606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3608" y="5834358"/>
          <a:ext cx="1915144" cy="5324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80855" y="11906"/>
          <a:ext cx="12249150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598363</xdr:colOff>
      <xdr:row>0</xdr:row>
      <xdr:rowOff>94944</xdr:rowOff>
    </xdr:from>
    <xdr:to>
      <xdr:col>5</xdr:col>
      <xdr:colOff>476250</xdr:colOff>
      <xdr:row>2</xdr:row>
      <xdr:rowOff>48846</xdr:rowOff>
    </xdr:to>
    <xdr:sp macro="" textlink="">
      <xdr:nvSpPr>
        <xdr:cNvPr id="17" name="TextBox 16"/>
        <xdr:cNvSpPr txBox="1"/>
      </xdr:nvSpPr>
      <xdr:spPr>
        <a:xfrm>
          <a:off x="2435327" y="94944"/>
          <a:ext cx="1102530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5</xdr:col>
      <xdr:colOff>460549</xdr:colOff>
      <xdr:row>0</xdr:row>
      <xdr:rowOff>92564</xdr:rowOff>
    </xdr:from>
    <xdr:to>
      <xdr:col>7</xdr:col>
      <xdr:colOff>789213</xdr:colOff>
      <xdr:row>2</xdr:row>
      <xdr:rowOff>48847</xdr:rowOff>
    </xdr:to>
    <xdr:sp macro="" textlink="$H$5">
      <xdr:nvSpPr>
        <xdr:cNvPr id="18" name="TextBox 17"/>
        <xdr:cNvSpPr txBox="1"/>
      </xdr:nvSpPr>
      <xdr:spPr>
        <a:xfrm>
          <a:off x="3522156" y="92564"/>
          <a:ext cx="1553307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01-Jul-2025</a:t>
          </a:fld>
          <a:endParaRPr lang="en-IN" sz="1600" b="1"/>
        </a:p>
      </xdr:txBody>
    </xdr:sp>
    <xdr:clientData/>
  </xdr:twoCellAnchor>
  <xdr:twoCellAnchor>
    <xdr:from>
      <xdr:col>8</xdr:col>
      <xdr:colOff>323430</xdr:colOff>
      <xdr:row>0</xdr:row>
      <xdr:rowOff>85481</xdr:rowOff>
    </xdr:from>
    <xdr:to>
      <xdr:col>8</xdr:col>
      <xdr:colOff>1374322</xdr:colOff>
      <xdr:row>2</xdr:row>
      <xdr:rowOff>85481</xdr:rowOff>
    </xdr:to>
    <xdr:sp macro="" textlink="">
      <xdr:nvSpPr>
        <xdr:cNvPr id="19" name="TextBox 18"/>
        <xdr:cNvSpPr txBox="1"/>
      </xdr:nvSpPr>
      <xdr:spPr>
        <a:xfrm>
          <a:off x="5480537" y="85481"/>
          <a:ext cx="1050892" cy="381000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1386879</xdr:colOff>
      <xdr:row>0</xdr:row>
      <xdr:rowOff>85482</xdr:rowOff>
    </xdr:from>
    <xdr:to>
      <xdr:col>13</xdr:col>
      <xdr:colOff>40821</xdr:colOff>
      <xdr:row>2</xdr:row>
      <xdr:rowOff>85481</xdr:rowOff>
    </xdr:to>
    <xdr:sp macro="" textlink="$L$5">
      <xdr:nvSpPr>
        <xdr:cNvPr id="20" name="TextBox 19"/>
        <xdr:cNvSpPr txBox="1"/>
      </xdr:nvSpPr>
      <xdr:spPr>
        <a:xfrm>
          <a:off x="6543986" y="85482"/>
          <a:ext cx="1851621" cy="38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31-Jul-2025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353786</xdr:colOff>
      <xdr:row>0</xdr:row>
      <xdr:rowOff>86877</xdr:rowOff>
    </xdr:from>
    <xdr:to>
      <xdr:col>29</xdr:col>
      <xdr:colOff>353785</xdr:colOff>
      <xdr:row>2</xdr:row>
      <xdr:rowOff>99088</xdr:rowOff>
    </xdr:to>
    <xdr:sp macro="" textlink="">
      <xdr:nvSpPr>
        <xdr:cNvPr id="21" name="Rectangle 20"/>
        <xdr:cNvSpPr/>
      </xdr:nvSpPr>
      <xdr:spPr>
        <a:xfrm>
          <a:off x="9320893" y="86877"/>
          <a:ext cx="4517571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367394</xdr:colOff>
      <xdr:row>0</xdr:row>
      <xdr:rowOff>108858</xdr:rowOff>
    </xdr:from>
    <xdr:to>
      <xdr:col>28</xdr:col>
      <xdr:colOff>68037</xdr:colOff>
      <xdr:row>2</xdr:row>
      <xdr:rowOff>54430</xdr:rowOff>
    </xdr:to>
    <xdr:sp macro="" textlink="">
      <xdr:nvSpPr>
        <xdr:cNvPr id="22" name="TextBox 21"/>
        <xdr:cNvSpPr txBox="1"/>
      </xdr:nvSpPr>
      <xdr:spPr>
        <a:xfrm>
          <a:off x="10028465" y="108858"/>
          <a:ext cx="3197679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27</xdr:col>
      <xdr:colOff>176892</xdr:colOff>
      <xdr:row>0</xdr:row>
      <xdr:rowOff>136071</xdr:rowOff>
    </xdr:from>
    <xdr:to>
      <xdr:col>29</xdr:col>
      <xdr:colOff>326573</xdr:colOff>
      <xdr:row>2</xdr:row>
      <xdr:rowOff>47450</xdr:rowOff>
    </xdr:to>
    <xdr:sp macro="" textlink="J$5">
      <xdr:nvSpPr>
        <xdr:cNvPr id="23" name="TextBox 22"/>
        <xdr:cNvSpPr txBox="1"/>
      </xdr:nvSpPr>
      <xdr:spPr>
        <a:xfrm>
          <a:off x="13049249" y="136071"/>
          <a:ext cx="762003" cy="2923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July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4" name="TextBox 23"/>
        <xdr:cNvSpPr txBox="1"/>
      </xdr:nvSpPr>
      <xdr:spPr>
        <a:xfrm>
          <a:off x="14207128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55476</xdr:colOff>
      <xdr:row>2</xdr:row>
      <xdr:rowOff>35242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4254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16</xdr:col>
      <xdr:colOff>168519</xdr:colOff>
      <xdr:row>0</xdr:row>
      <xdr:rowOff>74339</xdr:rowOff>
    </xdr:from>
    <xdr:to>
      <xdr:col>17</xdr:col>
      <xdr:colOff>380999</xdr:colOff>
      <xdr:row>2</xdr:row>
      <xdr:rowOff>126302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503019" y="74339"/>
          <a:ext cx="539051" cy="432963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27" name="TextBox 26"/>
        <xdr:cNvSpPr txBox="1"/>
      </xdr:nvSpPr>
      <xdr:spPr>
        <a:xfrm>
          <a:off x="15527180" y="106405"/>
          <a:ext cx="899808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28" name="TextBox 27"/>
        <xdr:cNvSpPr txBox="1"/>
      </xdr:nvSpPr>
      <xdr:spPr>
        <a:xfrm>
          <a:off x="16775757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36</xdr:col>
      <xdr:colOff>227830</xdr:colOff>
      <xdr:row>2</xdr:row>
      <xdr:rowOff>61058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16" y="92674"/>
          <a:ext cx="358038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70269</xdr:colOff>
      <xdr:row>2</xdr:row>
      <xdr:rowOff>123513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305" y="29939"/>
          <a:ext cx="335064" cy="474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2" name="Rectangle 1"/>
        <xdr:cNvSpPr/>
      </xdr:nvSpPr>
      <xdr:spPr>
        <a:xfrm>
          <a:off x="1819275" y="9524"/>
          <a:ext cx="15853681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3" name="Rectangle 2"/>
        <xdr:cNvSpPr/>
      </xdr:nvSpPr>
      <xdr:spPr>
        <a:xfrm>
          <a:off x="9525" y="0"/>
          <a:ext cx="1843088" cy="64484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1</xdr:row>
      <xdr:rowOff>13607</xdr:rowOff>
    </xdr:from>
    <xdr:to>
      <xdr:col>3</xdr:col>
      <xdr:colOff>81643</xdr:colOff>
      <xdr:row>3</xdr:row>
      <xdr:rowOff>81643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0" y="204107"/>
          <a:ext cx="1918607" cy="449036"/>
        </a:xfrm>
        <a:prstGeom prst="roundRect">
          <a:avLst>
            <a:gd name="adj" fmla="val 0"/>
          </a:avLst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5443</xdr:colOff>
      <xdr:row>3</xdr:row>
      <xdr:rowOff>89808</xdr:rowOff>
    </xdr:from>
    <xdr:to>
      <xdr:col>3</xdr:col>
      <xdr:colOff>91787</xdr:colOff>
      <xdr:row>6</xdr:row>
      <xdr:rowOff>1358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5443" y="661308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6</xdr:row>
      <xdr:rowOff>6123</xdr:rowOff>
    </xdr:from>
    <xdr:to>
      <xdr:col>3</xdr:col>
      <xdr:colOff>86344</xdr:colOff>
      <xdr:row>8</xdr:row>
      <xdr:rowOff>68036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0" y="1162730"/>
          <a:ext cx="1923308" cy="47012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March</a:t>
          </a:r>
        </a:p>
      </xdr:txBody>
    </xdr:sp>
    <xdr:clientData/>
  </xdr:twoCellAnchor>
  <xdr:twoCellAnchor>
    <xdr:from>
      <xdr:col>0</xdr:col>
      <xdr:colOff>0</xdr:colOff>
      <xdr:row>8</xdr:row>
      <xdr:rowOff>87427</xdr:rowOff>
    </xdr:from>
    <xdr:to>
      <xdr:col>3</xdr:col>
      <xdr:colOff>86344</xdr:colOff>
      <xdr:row>10</xdr:row>
      <xdr:rowOff>136072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0" y="1652248"/>
          <a:ext cx="1923308" cy="45686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April</a:t>
          </a:r>
        </a:p>
      </xdr:txBody>
    </xdr:sp>
    <xdr:clientData/>
  </xdr:twoCellAnchor>
  <xdr:twoCellAnchor>
    <xdr:from>
      <xdr:col>0</xdr:col>
      <xdr:colOff>0</xdr:colOff>
      <xdr:row>10</xdr:row>
      <xdr:rowOff>152742</xdr:rowOff>
    </xdr:from>
    <xdr:to>
      <xdr:col>3</xdr:col>
      <xdr:colOff>86344</xdr:colOff>
      <xdr:row>13</xdr:row>
      <xdr:rowOff>37078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0" y="2125778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May</a:t>
          </a:r>
        </a:p>
      </xdr:txBody>
    </xdr:sp>
    <xdr:clientData/>
  </xdr:twoCellAnchor>
  <xdr:twoCellAnchor>
    <xdr:from>
      <xdr:col>0</xdr:col>
      <xdr:colOff>0</xdr:colOff>
      <xdr:row>13</xdr:row>
      <xdr:rowOff>40480</xdr:rowOff>
    </xdr:from>
    <xdr:to>
      <xdr:col>3</xdr:col>
      <xdr:colOff>86344</xdr:colOff>
      <xdr:row>15</xdr:row>
      <xdr:rowOff>147011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0" y="2625837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131306</xdr:rowOff>
    </xdr:from>
    <xdr:to>
      <xdr:col>3</xdr:col>
      <xdr:colOff>86344</xdr:colOff>
      <xdr:row>18</xdr:row>
      <xdr:rowOff>33731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0" y="3124877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July</a:t>
          </a:r>
        </a:p>
      </xdr:txBody>
    </xdr:sp>
    <xdr:clientData/>
  </xdr:twoCellAnchor>
  <xdr:twoCellAnchor>
    <xdr:from>
      <xdr:col>0</xdr:col>
      <xdr:colOff>435429</xdr:colOff>
      <xdr:row>18</xdr:row>
      <xdr:rowOff>60545</xdr:rowOff>
    </xdr:from>
    <xdr:to>
      <xdr:col>3</xdr:col>
      <xdr:colOff>517071</xdr:colOff>
      <xdr:row>21</xdr:row>
      <xdr:rowOff>68036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435429" y="3666438"/>
          <a:ext cx="1918606" cy="619812"/>
        </a:xfrm>
        <a:prstGeom prst="roundRect">
          <a:avLst>
            <a:gd name="adj" fmla="val 50000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rPr>
            <a:t>August</a:t>
          </a:r>
        </a:p>
      </xdr:txBody>
    </xdr:sp>
    <xdr:clientData/>
  </xdr:twoCellAnchor>
  <xdr:twoCellAnchor>
    <xdr:from>
      <xdr:col>0</xdr:col>
      <xdr:colOff>0</xdr:colOff>
      <xdr:row>21</xdr:row>
      <xdr:rowOff>64895</xdr:rowOff>
    </xdr:from>
    <xdr:to>
      <xdr:col>3</xdr:col>
      <xdr:colOff>86344</xdr:colOff>
      <xdr:row>24</xdr:row>
      <xdr:rowOff>9929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0" y="4283109"/>
          <a:ext cx="1923308" cy="55735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September</a:t>
          </a:r>
        </a:p>
      </xdr:txBody>
    </xdr:sp>
    <xdr:clientData/>
  </xdr:twoCellAnchor>
  <xdr:twoCellAnchor>
    <xdr:from>
      <xdr:col>0</xdr:col>
      <xdr:colOff>13607</xdr:colOff>
      <xdr:row>24</xdr:row>
      <xdr:rowOff>13263</xdr:rowOff>
    </xdr:from>
    <xdr:to>
      <xdr:col>3</xdr:col>
      <xdr:colOff>99951</xdr:colOff>
      <xdr:row>26</xdr:row>
      <xdr:rowOff>119796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3607" y="4843799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October</a:t>
          </a:r>
        </a:p>
      </xdr:txBody>
    </xdr:sp>
    <xdr:clientData/>
  </xdr:twoCellAnchor>
  <xdr:twoCellAnchor>
    <xdr:from>
      <xdr:col>0</xdr:col>
      <xdr:colOff>13608</xdr:colOff>
      <xdr:row>26</xdr:row>
      <xdr:rowOff>154438</xdr:rowOff>
    </xdr:from>
    <xdr:to>
      <xdr:col>3</xdr:col>
      <xdr:colOff>99952</xdr:colOff>
      <xdr:row>29</xdr:row>
      <xdr:rowOff>56862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3608" y="5326513"/>
          <a:ext cx="1915144" cy="51202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November</a:t>
          </a:r>
        </a:p>
      </xdr:txBody>
    </xdr:sp>
    <xdr:clientData/>
  </xdr:twoCellAnchor>
  <xdr:twoCellAnchor>
    <xdr:from>
      <xdr:col>0</xdr:col>
      <xdr:colOff>13608</xdr:colOff>
      <xdr:row>29</xdr:row>
      <xdr:rowOff>52683</xdr:rowOff>
    </xdr:from>
    <xdr:to>
      <xdr:col>3</xdr:col>
      <xdr:colOff>99952</xdr:colOff>
      <xdr:row>32</xdr:row>
      <xdr:rowOff>13606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3608" y="5834358"/>
          <a:ext cx="1915144" cy="5324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80855" y="11906"/>
          <a:ext cx="12249150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598363</xdr:colOff>
      <xdr:row>0</xdr:row>
      <xdr:rowOff>94944</xdr:rowOff>
    </xdr:from>
    <xdr:to>
      <xdr:col>5</xdr:col>
      <xdr:colOff>544286</xdr:colOff>
      <xdr:row>2</xdr:row>
      <xdr:rowOff>48846</xdr:rowOff>
    </xdr:to>
    <xdr:sp macro="" textlink="">
      <xdr:nvSpPr>
        <xdr:cNvPr id="17" name="TextBox 16"/>
        <xdr:cNvSpPr txBox="1"/>
      </xdr:nvSpPr>
      <xdr:spPr>
        <a:xfrm>
          <a:off x="2435327" y="94944"/>
          <a:ext cx="1170566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5</xdr:col>
      <xdr:colOff>542192</xdr:colOff>
      <xdr:row>0</xdr:row>
      <xdr:rowOff>92564</xdr:rowOff>
    </xdr:from>
    <xdr:to>
      <xdr:col>7</xdr:col>
      <xdr:colOff>870856</xdr:colOff>
      <xdr:row>2</xdr:row>
      <xdr:rowOff>48847</xdr:rowOff>
    </xdr:to>
    <xdr:sp macro="" textlink="$H$5">
      <xdr:nvSpPr>
        <xdr:cNvPr id="18" name="TextBox 17"/>
        <xdr:cNvSpPr txBox="1"/>
      </xdr:nvSpPr>
      <xdr:spPr>
        <a:xfrm>
          <a:off x="3603799" y="92564"/>
          <a:ext cx="1553307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01-Aug-2025</a:t>
          </a:fld>
          <a:endParaRPr lang="en-IN" sz="1600" b="1"/>
        </a:p>
      </xdr:txBody>
    </xdr:sp>
    <xdr:clientData/>
  </xdr:twoCellAnchor>
  <xdr:twoCellAnchor>
    <xdr:from>
      <xdr:col>8</xdr:col>
      <xdr:colOff>340179</xdr:colOff>
      <xdr:row>0</xdr:row>
      <xdr:rowOff>71874</xdr:rowOff>
    </xdr:from>
    <xdr:to>
      <xdr:col>9</xdr:col>
      <xdr:colOff>122465</xdr:colOff>
      <xdr:row>2</xdr:row>
      <xdr:rowOff>71874</xdr:rowOff>
    </xdr:to>
    <xdr:sp macro="" textlink="">
      <xdr:nvSpPr>
        <xdr:cNvPr id="19" name="TextBox 18"/>
        <xdr:cNvSpPr txBox="1"/>
      </xdr:nvSpPr>
      <xdr:spPr>
        <a:xfrm>
          <a:off x="5497286" y="71874"/>
          <a:ext cx="1034143" cy="381000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9</xdr:col>
      <xdr:colOff>135023</xdr:colOff>
      <xdr:row>0</xdr:row>
      <xdr:rowOff>71875</xdr:rowOff>
    </xdr:from>
    <xdr:to>
      <xdr:col>12</xdr:col>
      <xdr:colOff>367393</xdr:colOff>
      <xdr:row>2</xdr:row>
      <xdr:rowOff>71874</xdr:rowOff>
    </xdr:to>
    <xdr:sp macro="" textlink="$L$5">
      <xdr:nvSpPr>
        <xdr:cNvPr id="20" name="TextBox 19"/>
        <xdr:cNvSpPr txBox="1"/>
      </xdr:nvSpPr>
      <xdr:spPr>
        <a:xfrm>
          <a:off x="6543987" y="71875"/>
          <a:ext cx="1606692" cy="38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31-Aug-2025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16</xdr:col>
      <xdr:colOff>122464</xdr:colOff>
      <xdr:row>0</xdr:row>
      <xdr:rowOff>86877</xdr:rowOff>
    </xdr:from>
    <xdr:to>
      <xdr:col>29</xdr:col>
      <xdr:colOff>353785</xdr:colOff>
      <xdr:row>2</xdr:row>
      <xdr:rowOff>99088</xdr:rowOff>
    </xdr:to>
    <xdr:sp macro="" textlink="">
      <xdr:nvSpPr>
        <xdr:cNvPr id="21" name="Rectangle 20"/>
        <xdr:cNvSpPr/>
      </xdr:nvSpPr>
      <xdr:spPr>
        <a:xfrm>
          <a:off x="9266464" y="86877"/>
          <a:ext cx="4653642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190498</xdr:colOff>
      <xdr:row>0</xdr:row>
      <xdr:rowOff>81643</xdr:rowOff>
    </xdr:from>
    <xdr:to>
      <xdr:col>27</xdr:col>
      <xdr:colOff>176891</xdr:colOff>
      <xdr:row>2</xdr:row>
      <xdr:rowOff>81644</xdr:rowOff>
    </xdr:to>
    <xdr:sp macro="" textlink="">
      <xdr:nvSpPr>
        <xdr:cNvPr id="22" name="TextBox 21"/>
        <xdr:cNvSpPr txBox="1"/>
      </xdr:nvSpPr>
      <xdr:spPr>
        <a:xfrm>
          <a:off x="9661069" y="81643"/>
          <a:ext cx="3469822" cy="381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244926</xdr:colOff>
      <xdr:row>0</xdr:row>
      <xdr:rowOff>81643</xdr:rowOff>
    </xdr:from>
    <xdr:to>
      <xdr:col>29</xdr:col>
      <xdr:colOff>340173</xdr:colOff>
      <xdr:row>2</xdr:row>
      <xdr:rowOff>61058</xdr:rowOff>
    </xdr:to>
    <xdr:sp macro="" textlink="J$5">
      <xdr:nvSpPr>
        <xdr:cNvPr id="23" name="TextBox 22"/>
        <xdr:cNvSpPr txBox="1"/>
      </xdr:nvSpPr>
      <xdr:spPr>
        <a:xfrm>
          <a:off x="12817926" y="81643"/>
          <a:ext cx="1088568" cy="3604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August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4" name="TextBox 23"/>
        <xdr:cNvSpPr txBox="1"/>
      </xdr:nvSpPr>
      <xdr:spPr>
        <a:xfrm>
          <a:off x="14207128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55476</xdr:colOff>
      <xdr:row>2</xdr:row>
      <xdr:rowOff>35242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4254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16</xdr:col>
      <xdr:colOff>244928</xdr:colOff>
      <xdr:row>0</xdr:row>
      <xdr:rowOff>87947</xdr:rowOff>
    </xdr:from>
    <xdr:to>
      <xdr:col>18</xdr:col>
      <xdr:colOff>40819</xdr:colOff>
      <xdr:row>2</xdr:row>
      <xdr:rowOff>139910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9388928" y="87947"/>
          <a:ext cx="503462" cy="432963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27" name="TextBox 26"/>
        <xdr:cNvSpPr txBox="1"/>
      </xdr:nvSpPr>
      <xdr:spPr>
        <a:xfrm>
          <a:off x="15527180" y="106405"/>
          <a:ext cx="899808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28" name="TextBox 27"/>
        <xdr:cNvSpPr txBox="1"/>
      </xdr:nvSpPr>
      <xdr:spPr>
        <a:xfrm>
          <a:off x="16775757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36</xdr:col>
      <xdr:colOff>227829</xdr:colOff>
      <xdr:row>2</xdr:row>
      <xdr:rowOff>61058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16" y="92674"/>
          <a:ext cx="358038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70270</xdr:colOff>
      <xdr:row>2</xdr:row>
      <xdr:rowOff>123513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305" y="29939"/>
          <a:ext cx="335064" cy="474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2" name="Rectangle 1"/>
        <xdr:cNvSpPr/>
      </xdr:nvSpPr>
      <xdr:spPr>
        <a:xfrm>
          <a:off x="1824718" y="9524"/>
          <a:ext cx="16163924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3" name="Rectangle 2"/>
        <xdr:cNvSpPr/>
      </xdr:nvSpPr>
      <xdr:spPr>
        <a:xfrm>
          <a:off x="9525" y="0"/>
          <a:ext cx="1843088" cy="64484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163286</xdr:rowOff>
    </xdr:from>
    <xdr:to>
      <xdr:col>3</xdr:col>
      <xdr:colOff>108857</xdr:colOff>
      <xdr:row>3</xdr:row>
      <xdr:rowOff>13607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0" y="163286"/>
          <a:ext cx="1945821" cy="421821"/>
        </a:xfrm>
        <a:prstGeom prst="roundRect">
          <a:avLst>
            <a:gd name="adj" fmla="val 3307"/>
          </a:avLst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3</xdr:row>
      <xdr:rowOff>8165</xdr:rowOff>
    </xdr:from>
    <xdr:to>
      <xdr:col>3</xdr:col>
      <xdr:colOff>86344</xdr:colOff>
      <xdr:row>5</xdr:row>
      <xdr:rowOff>95251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0" y="579665"/>
          <a:ext cx="1923308" cy="46808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5</xdr:row>
      <xdr:rowOff>114980</xdr:rowOff>
    </xdr:from>
    <xdr:to>
      <xdr:col>3</xdr:col>
      <xdr:colOff>86344</xdr:colOff>
      <xdr:row>7</xdr:row>
      <xdr:rowOff>122466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0" y="1067480"/>
          <a:ext cx="1923308" cy="415700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March</a:t>
          </a:r>
        </a:p>
      </xdr:txBody>
    </xdr:sp>
    <xdr:clientData/>
  </xdr:twoCellAnchor>
  <xdr:twoCellAnchor>
    <xdr:from>
      <xdr:col>0</xdr:col>
      <xdr:colOff>0</xdr:colOff>
      <xdr:row>7</xdr:row>
      <xdr:rowOff>128246</xdr:rowOff>
    </xdr:from>
    <xdr:to>
      <xdr:col>3</xdr:col>
      <xdr:colOff>86344</xdr:colOff>
      <xdr:row>10</xdr:row>
      <xdr:rowOff>13607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0" y="1488960"/>
          <a:ext cx="1923308" cy="49768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April</a:t>
          </a:r>
        </a:p>
      </xdr:txBody>
    </xdr:sp>
    <xdr:clientData/>
  </xdr:twoCellAnchor>
  <xdr:twoCellAnchor>
    <xdr:from>
      <xdr:col>0</xdr:col>
      <xdr:colOff>0</xdr:colOff>
      <xdr:row>10</xdr:row>
      <xdr:rowOff>16668</xdr:rowOff>
    </xdr:from>
    <xdr:to>
      <xdr:col>3</xdr:col>
      <xdr:colOff>86344</xdr:colOff>
      <xdr:row>12</xdr:row>
      <xdr:rowOff>105111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0" y="1989704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108516</xdr:rowOff>
    </xdr:from>
    <xdr:to>
      <xdr:col>3</xdr:col>
      <xdr:colOff>86344</xdr:colOff>
      <xdr:row>14</xdr:row>
      <xdr:rowOff>176893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0" y="2489766"/>
          <a:ext cx="1923308" cy="4765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June</a:t>
          </a:r>
        </a:p>
      </xdr:txBody>
    </xdr:sp>
    <xdr:clientData/>
  </xdr:twoCellAnchor>
  <xdr:twoCellAnchor>
    <xdr:from>
      <xdr:col>0</xdr:col>
      <xdr:colOff>0</xdr:colOff>
      <xdr:row>14</xdr:row>
      <xdr:rowOff>172127</xdr:rowOff>
    </xdr:from>
    <xdr:to>
      <xdr:col>3</xdr:col>
      <xdr:colOff>86344</xdr:colOff>
      <xdr:row>17</xdr:row>
      <xdr:rowOff>74552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0" y="2961591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74153</xdr:rowOff>
    </xdr:from>
    <xdr:to>
      <xdr:col>3</xdr:col>
      <xdr:colOff>86344</xdr:colOff>
      <xdr:row>19</xdr:row>
      <xdr:rowOff>163287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0" y="3475939"/>
          <a:ext cx="1923308" cy="497348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August</a:t>
          </a:r>
        </a:p>
      </xdr:txBody>
    </xdr:sp>
    <xdr:clientData/>
  </xdr:twoCellAnchor>
  <xdr:twoCellAnchor>
    <xdr:from>
      <xdr:col>0</xdr:col>
      <xdr:colOff>217715</xdr:colOff>
      <xdr:row>19</xdr:row>
      <xdr:rowOff>176893</xdr:rowOff>
    </xdr:from>
    <xdr:to>
      <xdr:col>4</xdr:col>
      <xdr:colOff>13607</xdr:colOff>
      <xdr:row>22</xdr:row>
      <xdr:rowOff>176893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217715" y="3986893"/>
          <a:ext cx="2245178" cy="612321"/>
        </a:xfrm>
        <a:prstGeom prst="roundRect">
          <a:avLst>
            <a:gd name="adj" fmla="val 50000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22</xdr:row>
      <xdr:rowOff>190156</xdr:rowOff>
    </xdr:from>
    <xdr:to>
      <xdr:col>3</xdr:col>
      <xdr:colOff>86344</xdr:colOff>
      <xdr:row>25</xdr:row>
      <xdr:rowOff>163286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0" y="4612477"/>
          <a:ext cx="1923308" cy="58545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October</a:t>
          </a:r>
        </a:p>
      </xdr:txBody>
    </xdr:sp>
    <xdr:clientData/>
  </xdr:twoCellAnchor>
  <xdr:twoCellAnchor>
    <xdr:from>
      <xdr:col>0</xdr:col>
      <xdr:colOff>0</xdr:colOff>
      <xdr:row>26</xdr:row>
      <xdr:rowOff>4759</xdr:rowOff>
    </xdr:from>
    <xdr:to>
      <xdr:col>3</xdr:col>
      <xdr:colOff>86344</xdr:colOff>
      <xdr:row>28</xdr:row>
      <xdr:rowOff>111290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0" y="5243509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November</a:t>
          </a:r>
        </a:p>
      </xdr:txBody>
    </xdr:sp>
    <xdr:clientData/>
  </xdr:twoCellAnchor>
  <xdr:twoCellAnchor>
    <xdr:from>
      <xdr:col>0</xdr:col>
      <xdr:colOff>1</xdr:colOff>
      <xdr:row>28</xdr:row>
      <xdr:rowOff>136072</xdr:rowOff>
    </xdr:from>
    <xdr:to>
      <xdr:col>3</xdr:col>
      <xdr:colOff>86345</xdr:colOff>
      <xdr:row>31</xdr:row>
      <xdr:rowOff>108856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" y="5783036"/>
          <a:ext cx="1923308" cy="557891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80855" y="11906"/>
          <a:ext cx="12249150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598363</xdr:colOff>
      <xdr:row>0</xdr:row>
      <xdr:rowOff>94944</xdr:rowOff>
    </xdr:from>
    <xdr:to>
      <xdr:col>5</xdr:col>
      <xdr:colOff>366346</xdr:colOff>
      <xdr:row>2</xdr:row>
      <xdr:rowOff>48846</xdr:rowOff>
    </xdr:to>
    <xdr:sp macro="" textlink="">
      <xdr:nvSpPr>
        <xdr:cNvPr id="17" name="TextBox 16"/>
        <xdr:cNvSpPr txBox="1"/>
      </xdr:nvSpPr>
      <xdr:spPr>
        <a:xfrm>
          <a:off x="2427163" y="94944"/>
          <a:ext cx="987183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5</xdr:col>
      <xdr:colOff>256442</xdr:colOff>
      <xdr:row>0</xdr:row>
      <xdr:rowOff>92564</xdr:rowOff>
    </xdr:from>
    <xdr:to>
      <xdr:col>7</xdr:col>
      <xdr:colOff>585106</xdr:colOff>
      <xdr:row>2</xdr:row>
      <xdr:rowOff>48847</xdr:rowOff>
    </xdr:to>
    <xdr:sp macro="" textlink="$H$5">
      <xdr:nvSpPr>
        <xdr:cNvPr id="18" name="TextBox 17"/>
        <xdr:cNvSpPr txBox="1"/>
      </xdr:nvSpPr>
      <xdr:spPr>
        <a:xfrm>
          <a:off x="3304442" y="92564"/>
          <a:ext cx="1547864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01-Sep-2025</a:t>
          </a:fld>
          <a:endParaRPr lang="en-IN" sz="1600" b="1"/>
        </a:p>
      </xdr:txBody>
    </xdr:sp>
    <xdr:clientData/>
  </xdr:twoCellAnchor>
  <xdr:twoCellAnchor>
    <xdr:from>
      <xdr:col>8</xdr:col>
      <xdr:colOff>10466</xdr:colOff>
      <xdr:row>0</xdr:row>
      <xdr:rowOff>99088</xdr:rowOff>
    </xdr:from>
    <xdr:to>
      <xdr:col>8</xdr:col>
      <xdr:colOff>1034143</xdr:colOff>
      <xdr:row>2</xdr:row>
      <xdr:rowOff>99088</xdr:rowOff>
    </xdr:to>
    <xdr:sp macro="" textlink="">
      <xdr:nvSpPr>
        <xdr:cNvPr id="19" name="TextBox 18"/>
        <xdr:cNvSpPr txBox="1"/>
      </xdr:nvSpPr>
      <xdr:spPr>
        <a:xfrm>
          <a:off x="5167573" y="99088"/>
          <a:ext cx="1023677" cy="381000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1019487</xdr:colOff>
      <xdr:row>0</xdr:row>
      <xdr:rowOff>99089</xdr:rowOff>
    </xdr:from>
    <xdr:to>
      <xdr:col>12</xdr:col>
      <xdr:colOff>0</xdr:colOff>
      <xdr:row>2</xdr:row>
      <xdr:rowOff>99088</xdr:rowOff>
    </xdr:to>
    <xdr:sp macro="" textlink="$L$5">
      <xdr:nvSpPr>
        <xdr:cNvPr id="20" name="TextBox 19"/>
        <xdr:cNvSpPr txBox="1"/>
      </xdr:nvSpPr>
      <xdr:spPr>
        <a:xfrm>
          <a:off x="6176594" y="99089"/>
          <a:ext cx="1606692" cy="38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30-Sep-2025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14</xdr:col>
      <xdr:colOff>285750</xdr:colOff>
      <xdr:row>0</xdr:row>
      <xdr:rowOff>86877</xdr:rowOff>
    </xdr:from>
    <xdr:to>
      <xdr:col>29</xdr:col>
      <xdr:colOff>353785</xdr:colOff>
      <xdr:row>2</xdr:row>
      <xdr:rowOff>99088</xdr:rowOff>
    </xdr:to>
    <xdr:sp macro="" textlink="">
      <xdr:nvSpPr>
        <xdr:cNvPr id="21" name="Rectangle 20"/>
        <xdr:cNvSpPr/>
      </xdr:nvSpPr>
      <xdr:spPr>
        <a:xfrm>
          <a:off x="8749393" y="86877"/>
          <a:ext cx="4912178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27213</xdr:colOff>
      <xdr:row>0</xdr:row>
      <xdr:rowOff>108858</xdr:rowOff>
    </xdr:from>
    <xdr:to>
      <xdr:col>25</xdr:col>
      <xdr:colOff>258535</xdr:colOff>
      <xdr:row>2</xdr:row>
      <xdr:rowOff>54430</xdr:rowOff>
    </xdr:to>
    <xdr:sp macro="" textlink="">
      <xdr:nvSpPr>
        <xdr:cNvPr id="22" name="TextBox 21"/>
        <xdr:cNvSpPr txBox="1"/>
      </xdr:nvSpPr>
      <xdr:spPr>
        <a:xfrm>
          <a:off x="9184820" y="108858"/>
          <a:ext cx="3197679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136072</xdr:colOff>
      <xdr:row>0</xdr:row>
      <xdr:rowOff>122465</xdr:rowOff>
    </xdr:from>
    <xdr:to>
      <xdr:col>29</xdr:col>
      <xdr:colOff>299357</xdr:colOff>
      <xdr:row>2</xdr:row>
      <xdr:rowOff>47451</xdr:rowOff>
    </xdr:to>
    <xdr:sp macro="" textlink="J$5">
      <xdr:nvSpPr>
        <xdr:cNvPr id="23" name="TextBox 22"/>
        <xdr:cNvSpPr txBox="1"/>
      </xdr:nvSpPr>
      <xdr:spPr>
        <a:xfrm>
          <a:off x="12260036" y="122465"/>
          <a:ext cx="1347107" cy="3059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September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4" name="TextBox 23"/>
        <xdr:cNvSpPr txBox="1"/>
      </xdr:nvSpPr>
      <xdr:spPr>
        <a:xfrm>
          <a:off x="14207128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55476</xdr:colOff>
      <xdr:row>2</xdr:row>
      <xdr:rowOff>35242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4254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14</xdr:col>
      <xdr:colOff>318198</xdr:colOff>
      <xdr:row>0</xdr:row>
      <xdr:rowOff>74339</xdr:rowOff>
    </xdr:from>
    <xdr:to>
      <xdr:col>16</xdr:col>
      <xdr:colOff>163285</xdr:colOff>
      <xdr:row>2</xdr:row>
      <xdr:rowOff>126302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781841" y="74339"/>
          <a:ext cx="539051" cy="432963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27" name="TextBox 26"/>
        <xdr:cNvSpPr txBox="1"/>
      </xdr:nvSpPr>
      <xdr:spPr>
        <a:xfrm>
          <a:off x="15527180" y="106405"/>
          <a:ext cx="899808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28" name="TextBox 27"/>
        <xdr:cNvSpPr txBox="1"/>
      </xdr:nvSpPr>
      <xdr:spPr>
        <a:xfrm>
          <a:off x="16775757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36</xdr:col>
      <xdr:colOff>227830</xdr:colOff>
      <xdr:row>2</xdr:row>
      <xdr:rowOff>61058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16" y="92674"/>
          <a:ext cx="358038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70269</xdr:colOff>
      <xdr:row>2</xdr:row>
      <xdr:rowOff>123513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305" y="29939"/>
          <a:ext cx="335064" cy="474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2" name="Rectangle 1"/>
        <xdr:cNvSpPr/>
      </xdr:nvSpPr>
      <xdr:spPr>
        <a:xfrm>
          <a:off x="1819275" y="9524"/>
          <a:ext cx="15853681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3" name="Rectangle 2"/>
        <xdr:cNvSpPr/>
      </xdr:nvSpPr>
      <xdr:spPr>
        <a:xfrm>
          <a:off x="9525" y="0"/>
          <a:ext cx="1843088" cy="64484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1</xdr:colOff>
      <xdr:row>1</xdr:row>
      <xdr:rowOff>27213</xdr:rowOff>
    </xdr:from>
    <xdr:to>
      <xdr:col>3</xdr:col>
      <xdr:colOff>95251</xdr:colOff>
      <xdr:row>3</xdr:row>
      <xdr:rowOff>93506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1" y="217713"/>
          <a:ext cx="1932214" cy="447293"/>
        </a:xfrm>
        <a:prstGeom prst="roundRect">
          <a:avLst>
            <a:gd name="adj" fmla="val 0"/>
          </a:avLst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5443</xdr:colOff>
      <xdr:row>3</xdr:row>
      <xdr:rowOff>103414</xdr:rowOff>
    </xdr:from>
    <xdr:to>
      <xdr:col>3</xdr:col>
      <xdr:colOff>91787</xdr:colOff>
      <xdr:row>6</xdr:row>
      <xdr:rowOff>14964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5443" y="674914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6</xdr:row>
      <xdr:rowOff>33336</xdr:rowOff>
    </xdr:from>
    <xdr:to>
      <xdr:col>3</xdr:col>
      <xdr:colOff>86344</xdr:colOff>
      <xdr:row>8</xdr:row>
      <xdr:rowOff>139867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0" y="1189943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March</a:t>
          </a:r>
        </a:p>
      </xdr:txBody>
    </xdr:sp>
    <xdr:clientData/>
  </xdr:twoCellAnchor>
  <xdr:twoCellAnchor>
    <xdr:from>
      <xdr:col>0</xdr:col>
      <xdr:colOff>0</xdr:colOff>
      <xdr:row>8</xdr:row>
      <xdr:rowOff>155460</xdr:rowOff>
    </xdr:from>
    <xdr:to>
      <xdr:col>3</xdr:col>
      <xdr:colOff>86344</xdr:colOff>
      <xdr:row>11</xdr:row>
      <xdr:rowOff>57885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0" y="1720281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April</a:t>
          </a:r>
        </a:p>
      </xdr:txBody>
    </xdr:sp>
    <xdr:clientData/>
  </xdr:twoCellAnchor>
  <xdr:twoCellAnchor>
    <xdr:from>
      <xdr:col>0</xdr:col>
      <xdr:colOff>0</xdr:colOff>
      <xdr:row>11</xdr:row>
      <xdr:rowOff>57490</xdr:rowOff>
    </xdr:from>
    <xdr:to>
      <xdr:col>3</xdr:col>
      <xdr:colOff>86344</xdr:colOff>
      <xdr:row>13</xdr:row>
      <xdr:rowOff>145933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0" y="2234633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May</a:t>
          </a:r>
        </a:p>
      </xdr:txBody>
    </xdr:sp>
    <xdr:clientData/>
  </xdr:twoCellAnchor>
  <xdr:twoCellAnchor>
    <xdr:from>
      <xdr:col>0</xdr:col>
      <xdr:colOff>0</xdr:colOff>
      <xdr:row>13</xdr:row>
      <xdr:rowOff>162945</xdr:rowOff>
    </xdr:from>
    <xdr:to>
      <xdr:col>3</xdr:col>
      <xdr:colOff>86344</xdr:colOff>
      <xdr:row>16</xdr:row>
      <xdr:rowOff>65368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0" y="2748302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June</a:t>
          </a:r>
        </a:p>
      </xdr:txBody>
    </xdr:sp>
    <xdr:clientData/>
  </xdr:twoCellAnchor>
  <xdr:twoCellAnchor>
    <xdr:from>
      <xdr:col>0</xdr:col>
      <xdr:colOff>0</xdr:colOff>
      <xdr:row>16</xdr:row>
      <xdr:rowOff>76877</xdr:rowOff>
    </xdr:from>
    <xdr:to>
      <xdr:col>3</xdr:col>
      <xdr:colOff>86344</xdr:colOff>
      <xdr:row>18</xdr:row>
      <xdr:rowOff>183410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0" y="3274556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July</a:t>
          </a:r>
        </a:p>
      </xdr:txBody>
    </xdr:sp>
    <xdr:clientData/>
  </xdr:twoCellAnchor>
  <xdr:twoCellAnchor>
    <xdr:from>
      <xdr:col>0</xdr:col>
      <xdr:colOff>0</xdr:colOff>
      <xdr:row>18</xdr:row>
      <xdr:rowOff>183010</xdr:rowOff>
    </xdr:from>
    <xdr:to>
      <xdr:col>3</xdr:col>
      <xdr:colOff>86344</xdr:colOff>
      <xdr:row>21</xdr:row>
      <xdr:rowOff>85434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0" y="3788903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August</a:t>
          </a:r>
        </a:p>
      </xdr:txBody>
    </xdr:sp>
    <xdr:clientData/>
  </xdr:twoCellAnchor>
  <xdr:twoCellAnchor>
    <xdr:from>
      <xdr:col>0</xdr:col>
      <xdr:colOff>0</xdr:colOff>
      <xdr:row>21</xdr:row>
      <xdr:rowOff>78502</xdr:rowOff>
    </xdr:from>
    <xdr:to>
      <xdr:col>3</xdr:col>
      <xdr:colOff>86344</xdr:colOff>
      <xdr:row>24</xdr:row>
      <xdr:rowOff>23536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0" y="4296716"/>
          <a:ext cx="1923308" cy="55735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September</a:t>
          </a:r>
        </a:p>
      </xdr:txBody>
    </xdr:sp>
    <xdr:clientData/>
  </xdr:twoCellAnchor>
  <xdr:twoCellAnchor>
    <xdr:from>
      <xdr:col>0</xdr:col>
      <xdr:colOff>449035</xdr:colOff>
      <xdr:row>24</xdr:row>
      <xdr:rowOff>13608</xdr:rowOff>
    </xdr:from>
    <xdr:to>
      <xdr:col>3</xdr:col>
      <xdr:colOff>535379</xdr:colOff>
      <xdr:row>26</xdr:row>
      <xdr:rowOff>136072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449035" y="4844144"/>
          <a:ext cx="1923308" cy="530678"/>
        </a:xfrm>
        <a:prstGeom prst="roundRect">
          <a:avLst>
            <a:gd name="adj" fmla="val 50000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rPr>
            <a:t>October</a:t>
          </a:r>
        </a:p>
      </xdr:txBody>
    </xdr:sp>
    <xdr:clientData/>
  </xdr:twoCellAnchor>
  <xdr:twoCellAnchor>
    <xdr:from>
      <xdr:col>0</xdr:col>
      <xdr:colOff>13608</xdr:colOff>
      <xdr:row>26</xdr:row>
      <xdr:rowOff>154438</xdr:rowOff>
    </xdr:from>
    <xdr:to>
      <xdr:col>3</xdr:col>
      <xdr:colOff>99952</xdr:colOff>
      <xdr:row>29</xdr:row>
      <xdr:rowOff>56862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3608" y="5326513"/>
          <a:ext cx="1915144" cy="51202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November</a:t>
          </a:r>
        </a:p>
      </xdr:txBody>
    </xdr:sp>
    <xdr:clientData/>
  </xdr:twoCellAnchor>
  <xdr:twoCellAnchor>
    <xdr:from>
      <xdr:col>0</xdr:col>
      <xdr:colOff>13608</xdr:colOff>
      <xdr:row>29</xdr:row>
      <xdr:rowOff>52683</xdr:rowOff>
    </xdr:from>
    <xdr:to>
      <xdr:col>3</xdr:col>
      <xdr:colOff>99952</xdr:colOff>
      <xdr:row>32</xdr:row>
      <xdr:rowOff>13606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13608" y="5834358"/>
          <a:ext cx="1915144" cy="5324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80855" y="11906"/>
          <a:ext cx="12249150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598363</xdr:colOff>
      <xdr:row>0</xdr:row>
      <xdr:rowOff>94944</xdr:rowOff>
    </xdr:from>
    <xdr:to>
      <xdr:col>5</xdr:col>
      <xdr:colOff>366346</xdr:colOff>
      <xdr:row>2</xdr:row>
      <xdr:rowOff>48846</xdr:rowOff>
    </xdr:to>
    <xdr:sp macro="" textlink="">
      <xdr:nvSpPr>
        <xdr:cNvPr id="17" name="TextBox 16"/>
        <xdr:cNvSpPr txBox="1"/>
      </xdr:nvSpPr>
      <xdr:spPr>
        <a:xfrm>
          <a:off x="2427163" y="94944"/>
          <a:ext cx="987183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5</xdr:col>
      <xdr:colOff>256442</xdr:colOff>
      <xdr:row>0</xdr:row>
      <xdr:rowOff>92564</xdr:rowOff>
    </xdr:from>
    <xdr:to>
      <xdr:col>7</xdr:col>
      <xdr:colOff>585106</xdr:colOff>
      <xdr:row>2</xdr:row>
      <xdr:rowOff>48847</xdr:rowOff>
    </xdr:to>
    <xdr:sp macro="" textlink="$H$5">
      <xdr:nvSpPr>
        <xdr:cNvPr id="18" name="TextBox 17"/>
        <xdr:cNvSpPr txBox="1"/>
      </xdr:nvSpPr>
      <xdr:spPr>
        <a:xfrm>
          <a:off x="3304442" y="92564"/>
          <a:ext cx="1547864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01-Oct-2025</a:t>
          </a:fld>
          <a:endParaRPr lang="en-IN" sz="1600" b="1"/>
        </a:p>
      </xdr:txBody>
    </xdr:sp>
    <xdr:clientData/>
  </xdr:twoCellAnchor>
  <xdr:twoCellAnchor>
    <xdr:from>
      <xdr:col>8</xdr:col>
      <xdr:colOff>10466</xdr:colOff>
      <xdr:row>0</xdr:row>
      <xdr:rowOff>85481</xdr:rowOff>
    </xdr:from>
    <xdr:to>
      <xdr:col>8</xdr:col>
      <xdr:colOff>1020536</xdr:colOff>
      <xdr:row>2</xdr:row>
      <xdr:rowOff>85481</xdr:rowOff>
    </xdr:to>
    <xdr:sp macro="" textlink="">
      <xdr:nvSpPr>
        <xdr:cNvPr id="19" name="TextBox 18"/>
        <xdr:cNvSpPr txBox="1"/>
      </xdr:nvSpPr>
      <xdr:spPr>
        <a:xfrm>
          <a:off x="5167573" y="85481"/>
          <a:ext cx="1010070" cy="381000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1033094</xdr:colOff>
      <xdr:row>0</xdr:row>
      <xdr:rowOff>85481</xdr:rowOff>
    </xdr:from>
    <xdr:to>
      <xdr:col>12</xdr:col>
      <xdr:colOff>13607</xdr:colOff>
      <xdr:row>2</xdr:row>
      <xdr:rowOff>85480</xdr:rowOff>
    </xdr:to>
    <xdr:sp macro="" textlink="$L$5">
      <xdr:nvSpPr>
        <xdr:cNvPr id="20" name="TextBox 19"/>
        <xdr:cNvSpPr txBox="1"/>
      </xdr:nvSpPr>
      <xdr:spPr>
        <a:xfrm>
          <a:off x="6190201" y="85481"/>
          <a:ext cx="1606692" cy="38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31-Oct-2025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340178</xdr:colOff>
      <xdr:row>0</xdr:row>
      <xdr:rowOff>86877</xdr:rowOff>
    </xdr:from>
    <xdr:to>
      <xdr:col>29</xdr:col>
      <xdr:colOff>353785</xdr:colOff>
      <xdr:row>2</xdr:row>
      <xdr:rowOff>99088</xdr:rowOff>
    </xdr:to>
    <xdr:sp macro="" textlink="">
      <xdr:nvSpPr>
        <xdr:cNvPr id="21" name="Rectangle 20"/>
        <xdr:cNvSpPr/>
      </xdr:nvSpPr>
      <xdr:spPr>
        <a:xfrm>
          <a:off x="8980714" y="86877"/>
          <a:ext cx="4531178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13604</xdr:colOff>
      <xdr:row>0</xdr:row>
      <xdr:rowOff>108858</xdr:rowOff>
    </xdr:from>
    <xdr:to>
      <xdr:col>26</xdr:col>
      <xdr:colOff>244926</xdr:colOff>
      <xdr:row>2</xdr:row>
      <xdr:rowOff>54430</xdr:rowOff>
    </xdr:to>
    <xdr:sp macro="" textlink="">
      <xdr:nvSpPr>
        <xdr:cNvPr id="22" name="TextBox 21"/>
        <xdr:cNvSpPr txBox="1"/>
      </xdr:nvSpPr>
      <xdr:spPr>
        <a:xfrm>
          <a:off x="9348104" y="108858"/>
          <a:ext cx="3197679" cy="326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95249</xdr:colOff>
      <xdr:row>0</xdr:row>
      <xdr:rowOff>136071</xdr:rowOff>
    </xdr:from>
    <xdr:to>
      <xdr:col>29</xdr:col>
      <xdr:colOff>340176</xdr:colOff>
      <xdr:row>2</xdr:row>
      <xdr:rowOff>47451</xdr:rowOff>
    </xdr:to>
    <xdr:sp macro="" textlink="J$5">
      <xdr:nvSpPr>
        <xdr:cNvPr id="23" name="TextBox 22"/>
        <xdr:cNvSpPr txBox="1"/>
      </xdr:nvSpPr>
      <xdr:spPr>
        <a:xfrm>
          <a:off x="12396106" y="136071"/>
          <a:ext cx="1102177" cy="2923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October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4" name="TextBox 23"/>
        <xdr:cNvSpPr txBox="1"/>
      </xdr:nvSpPr>
      <xdr:spPr>
        <a:xfrm>
          <a:off x="14207128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55476</xdr:colOff>
      <xdr:row>2</xdr:row>
      <xdr:rowOff>35242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4254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15</xdr:col>
      <xdr:colOff>318196</xdr:colOff>
      <xdr:row>0</xdr:row>
      <xdr:rowOff>60732</xdr:rowOff>
    </xdr:from>
    <xdr:to>
      <xdr:col>17</xdr:col>
      <xdr:colOff>163282</xdr:colOff>
      <xdr:row>2</xdr:row>
      <xdr:rowOff>112695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958732" y="60732"/>
          <a:ext cx="539051" cy="432963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27" name="TextBox 26"/>
        <xdr:cNvSpPr txBox="1"/>
      </xdr:nvSpPr>
      <xdr:spPr>
        <a:xfrm>
          <a:off x="15527180" y="106405"/>
          <a:ext cx="899808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28" name="TextBox 27"/>
        <xdr:cNvSpPr txBox="1"/>
      </xdr:nvSpPr>
      <xdr:spPr>
        <a:xfrm>
          <a:off x="16775757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36</xdr:col>
      <xdr:colOff>227830</xdr:colOff>
      <xdr:row>2</xdr:row>
      <xdr:rowOff>61058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16" y="92674"/>
          <a:ext cx="358038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70269</xdr:colOff>
      <xdr:row>2</xdr:row>
      <xdr:rowOff>123513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305" y="29939"/>
          <a:ext cx="335064" cy="474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2" name="Rectangle 1"/>
        <xdr:cNvSpPr/>
      </xdr:nvSpPr>
      <xdr:spPr>
        <a:xfrm>
          <a:off x="1819275" y="9524"/>
          <a:ext cx="15853681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3" name="Rectangle 2"/>
        <xdr:cNvSpPr/>
      </xdr:nvSpPr>
      <xdr:spPr>
        <a:xfrm>
          <a:off x="9525" y="0"/>
          <a:ext cx="1843088" cy="64484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163286</xdr:rowOff>
    </xdr:from>
    <xdr:to>
      <xdr:col>3</xdr:col>
      <xdr:colOff>95250</xdr:colOff>
      <xdr:row>3</xdr:row>
      <xdr:rowOff>52686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0" y="163286"/>
          <a:ext cx="1932214" cy="460900"/>
        </a:xfrm>
        <a:prstGeom prst="roundRect">
          <a:avLst>
            <a:gd name="adj" fmla="val 0"/>
          </a:avLst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3</xdr:row>
      <xdr:rowOff>48985</xdr:rowOff>
    </xdr:from>
    <xdr:to>
      <xdr:col>3</xdr:col>
      <xdr:colOff>86344</xdr:colOff>
      <xdr:row>5</xdr:row>
      <xdr:rowOff>164642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0" y="620485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5</xdr:row>
      <xdr:rowOff>183015</xdr:rowOff>
    </xdr:from>
    <xdr:to>
      <xdr:col>3</xdr:col>
      <xdr:colOff>86344</xdr:colOff>
      <xdr:row>8</xdr:row>
      <xdr:rowOff>54429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0" y="1135515"/>
          <a:ext cx="1923308" cy="48373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March</a:t>
          </a:r>
        </a:p>
      </xdr:txBody>
    </xdr:sp>
    <xdr:clientData/>
  </xdr:twoCellAnchor>
  <xdr:twoCellAnchor>
    <xdr:from>
      <xdr:col>0</xdr:col>
      <xdr:colOff>0</xdr:colOff>
      <xdr:row>8</xdr:row>
      <xdr:rowOff>60211</xdr:rowOff>
    </xdr:from>
    <xdr:to>
      <xdr:col>3</xdr:col>
      <xdr:colOff>86344</xdr:colOff>
      <xdr:row>10</xdr:row>
      <xdr:rowOff>108858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0" y="1625032"/>
          <a:ext cx="1923308" cy="45686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April</a:t>
          </a:r>
        </a:p>
      </xdr:txBody>
    </xdr:sp>
    <xdr:clientData/>
  </xdr:twoCellAnchor>
  <xdr:twoCellAnchor>
    <xdr:from>
      <xdr:col>0</xdr:col>
      <xdr:colOff>0</xdr:colOff>
      <xdr:row>10</xdr:row>
      <xdr:rowOff>125527</xdr:rowOff>
    </xdr:from>
    <xdr:to>
      <xdr:col>3</xdr:col>
      <xdr:colOff>86344</xdr:colOff>
      <xdr:row>12</xdr:row>
      <xdr:rowOff>163287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0" y="2098563"/>
          <a:ext cx="1923308" cy="445974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May</a:t>
          </a:r>
        </a:p>
      </xdr:txBody>
    </xdr:sp>
    <xdr:clientData/>
  </xdr:twoCellAnchor>
  <xdr:twoCellAnchor>
    <xdr:from>
      <xdr:col>0</xdr:col>
      <xdr:colOff>0</xdr:colOff>
      <xdr:row>12</xdr:row>
      <xdr:rowOff>190500</xdr:rowOff>
    </xdr:from>
    <xdr:to>
      <xdr:col>3</xdr:col>
      <xdr:colOff>86344</xdr:colOff>
      <xdr:row>15</xdr:row>
      <xdr:rowOff>27215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0" y="2571750"/>
          <a:ext cx="1923308" cy="44903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June</a:t>
          </a:r>
        </a:p>
      </xdr:txBody>
    </xdr:sp>
    <xdr:clientData/>
  </xdr:twoCellAnchor>
  <xdr:twoCellAnchor>
    <xdr:from>
      <xdr:col>0</xdr:col>
      <xdr:colOff>0</xdr:colOff>
      <xdr:row>15</xdr:row>
      <xdr:rowOff>36056</xdr:rowOff>
    </xdr:from>
    <xdr:to>
      <xdr:col>3</xdr:col>
      <xdr:colOff>86344</xdr:colOff>
      <xdr:row>17</xdr:row>
      <xdr:rowOff>149678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0" y="3029627"/>
          <a:ext cx="1923308" cy="52183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July</a:t>
          </a:r>
        </a:p>
      </xdr:txBody>
    </xdr:sp>
    <xdr:clientData/>
  </xdr:twoCellAnchor>
  <xdr:twoCellAnchor>
    <xdr:from>
      <xdr:col>0</xdr:col>
      <xdr:colOff>0</xdr:colOff>
      <xdr:row>17</xdr:row>
      <xdr:rowOff>163285</xdr:rowOff>
    </xdr:from>
    <xdr:to>
      <xdr:col>3</xdr:col>
      <xdr:colOff>86344</xdr:colOff>
      <xdr:row>20</xdr:row>
      <xdr:rowOff>68036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0" y="3565071"/>
          <a:ext cx="1923308" cy="51707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August</a:t>
          </a:r>
        </a:p>
      </xdr:txBody>
    </xdr:sp>
    <xdr:clientData/>
  </xdr:twoCellAnchor>
  <xdr:twoCellAnchor>
    <xdr:from>
      <xdr:col>0</xdr:col>
      <xdr:colOff>0</xdr:colOff>
      <xdr:row>20</xdr:row>
      <xdr:rowOff>54428</xdr:rowOff>
    </xdr:from>
    <xdr:to>
      <xdr:col>3</xdr:col>
      <xdr:colOff>86344</xdr:colOff>
      <xdr:row>22</xdr:row>
      <xdr:rowOff>190500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0" y="4068535"/>
          <a:ext cx="1923308" cy="54428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September</a:t>
          </a:r>
        </a:p>
      </xdr:txBody>
    </xdr:sp>
    <xdr:clientData/>
  </xdr:twoCellAnchor>
  <xdr:twoCellAnchor>
    <xdr:from>
      <xdr:col>0</xdr:col>
      <xdr:colOff>0</xdr:colOff>
      <xdr:row>23</xdr:row>
      <xdr:rowOff>-1</xdr:rowOff>
    </xdr:from>
    <xdr:to>
      <xdr:col>3</xdr:col>
      <xdr:colOff>86344</xdr:colOff>
      <xdr:row>25</xdr:row>
      <xdr:rowOff>108857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0" y="4626428"/>
          <a:ext cx="1923308" cy="517072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October</a:t>
          </a:r>
        </a:p>
      </xdr:txBody>
    </xdr:sp>
    <xdr:clientData/>
  </xdr:twoCellAnchor>
  <xdr:twoCellAnchor>
    <xdr:from>
      <xdr:col>0</xdr:col>
      <xdr:colOff>367394</xdr:colOff>
      <xdr:row>25</xdr:row>
      <xdr:rowOff>122464</xdr:rowOff>
    </xdr:from>
    <xdr:to>
      <xdr:col>3</xdr:col>
      <xdr:colOff>598714</xdr:colOff>
      <xdr:row>28</xdr:row>
      <xdr:rowOff>136072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367394" y="5157107"/>
          <a:ext cx="2068284" cy="625929"/>
        </a:xfrm>
        <a:prstGeom prst="roundRect">
          <a:avLst>
            <a:gd name="adj" fmla="val 50000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rPr>
            <a:t>November</a:t>
          </a:r>
        </a:p>
      </xdr:txBody>
    </xdr:sp>
    <xdr:clientData/>
  </xdr:twoCellAnchor>
  <xdr:twoCellAnchor>
    <xdr:from>
      <xdr:col>0</xdr:col>
      <xdr:colOff>27215</xdr:colOff>
      <xdr:row>28</xdr:row>
      <xdr:rowOff>161540</xdr:rowOff>
    </xdr:from>
    <xdr:to>
      <xdr:col>3</xdr:col>
      <xdr:colOff>113559</xdr:colOff>
      <xdr:row>31</xdr:row>
      <xdr:rowOff>108856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27215" y="5808504"/>
          <a:ext cx="1923308" cy="532423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80855" y="11906"/>
          <a:ext cx="12249150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598363</xdr:colOff>
      <xdr:row>0</xdr:row>
      <xdr:rowOff>94944</xdr:rowOff>
    </xdr:from>
    <xdr:to>
      <xdr:col>5</xdr:col>
      <xdr:colOff>366346</xdr:colOff>
      <xdr:row>2</xdr:row>
      <xdr:rowOff>48846</xdr:rowOff>
    </xdr:to>
    <xdr:sp macro="" textlink="">
      <xdr:nvSpPr>
        <xdr:cNvPr id="17" name="TextBox 16"/>
        <xdr:cNvSpPr txBox="1"/>
      </xdr:nvSpPr>
      <xdr:spPr>
        <a:xfrm>
          <a:off x="2427163" y="94944"/>
          <a:ext cx="987183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5</xdr:col>
      <xdr:colOff>256442</xdr:colOff>
      <xdr:row>0</xdr:row>
      <xdr:rowOff>92564</xdr:rowOff>
    </xdr:from>
    <xdr:to>
      <xdr:col>7</xdr:col>
      <xdr:colOff>585106</xdr:colOff>
      <xdr:row>2</xdr:row>
      <xdr:rowOff>48847</xdr:rowOff>
    </xdr:to>
    <xdr:sp macro="" textlink="$H$5">
      <xdr:nvSpPr>
        <xdr:cNvPr id="18" name="TextBox 17"/>
        <xdr:cNvSpPr txBox="1"/>
      </xdr:nvSpPr>
      <xdr:spPr>
        <a:xfrm>
          <a:off x="3304442" y="92564"/>
          <a:ext cx="1547864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01-Nov-2025</a:t>
          </a:fld>
          <a:endParaRPr lang="en-IN" sz="1600" b="1"/>
        </a:p>
      </xdr:txBody>
    </xdr:sp>
    <xdr:clientData/>
  </xdr:twoCellAnchor>
  <xdr:twoCellAnchor>
    <xdr:from>
      <xdr:col>8</xdr:col>
      <xdr:colOff>10466</xdr:colOff>
      <xdr:row>0</xdr:row>
      <xdr:rowOff>99088</xdr:rowOff>
    </xdr:from>
    <xdr:to>
      <xdr:col>8</xdr:col>
      <xdr:colOff>1006929</xdr:colOff>
      <xdr:row>2</xdr:row>
      <xdr:rowOff>99088</xdr:rowOff>
    </xdr:to>
    <xdr:sp macro="" textlink="">
      <xdr:nvSpPr>
        <xdr:cNvPr id="19" name="TextBox 18"/>
        <xdr:cNvSpPr txBox="1"/>
      </xdr:nvSpPr>
      <xdr:spPr>
        <a:xfrm>
          <a:off x="5167573" y="99088"/>
          <a:ext cx="996463" cy="381000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1019487</xdr:colOff>
      <xdr:row>0</xdr:row>
      <xdr:rowOff>99089</xdr:rowOff>
    </xdr:from>
    <xdr:to>
      <xdr:col>12</xdr:col>
      <xdr:colOff>0</xdr:colOff>
      <xdr:row>2</xdr:row>
      <xdr:rowOff>99088</xdr:rowOff>
    </xdr:to>
    <xdr:sp macro="" textlink="$L$5">
      <xdr:nvSpPr>
        <xdr:cNvPr id="20" name="TextBox 19"/>
        <xdr:cNvSpPr txBox="1"/>
      </xdr:nvSpPr>
      <xdr:spPr>
        <a:xfrm>
          <a:off x="6176594" y="99089"/>
          <a:ext cx="1606692" cy="38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30-Nov-2025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20237</xdr:colOff>
      <xdr:row>0</xdr:row>
      <xdr:rowOff>73270</xdr:rowOff>
    </xdr:from>
    <xdr:to>
      <xdr:col>30</xdr:col>
      <xdr:colOff>-1</xdr:colOff>
      <xdr:row>2</xdr:row>
      <xdr:rowOff>85481</xdr:rowOff>
    </xdr:to>
    <xdr:sp macro="" textlink="">
      <xdr:nvSpPr>
        <xdr:cNvPr id="21" name="Rectangle 20"/>
        <xdr:cNvSpPr/>
      </xdr:nvSpPr>
      <xdr:spPr>
        <a:xfrm>
          <a:off x="8810451" y="73270"/>
          <a:ext cx="4864727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54426</xdr:colOff>
      <xdr:row>0</xdr:row>
      <xdr:rowOff>81644</xdr:rowOff>
    </xdr:from>
    <xdr:to>
      <xdr:col>25</xdr:col>
      <xdr:colOff>285748</xdr:colOff>
      <xdr:row>2</xdr:row>
      <xdr:rowOff>68036</xdr:rowOff>
    </xdr:to>
    <xdr:sp macro="" textlink="">
      <xdr:nvSpPr>
        <xdr:cNvPr id="22" name="TextBox 21"/>
        <xdr:cNvSpPr txBox="1"/>
      </xdr:nvSpPr>
      <xdr:spPr>
        <a:xfrm>
          <a:off x="9212033" y="81644"/>
          <a:ext cx="3197679" cy="3673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176893</xdr:colOff>
      <xdr:row>0</xdr:row>
      <xdr:rowOff>122464</xdr:rowOff>
    </xdr:from>
    <xdr:to>
      <xdr:col>29</xdr:col>
      <xdr:colOff>326571</xdr:colOff>
      <xdr:row>2</xdr:row>
      <xdr:rowOff>33843</xdr:rowOff>
    </xdr:to>
    <xdr:sp macro="" textlink="J$5">
      <xdr:nvSpPr>
        <xdr:cNvPr id="23" name="TextBox 22"/>
        <xdr:cNvSpPr txBox="1"/>
      </xdr:nvSpPr>
      <xdr:spPr>
        <a:xfrm>
          <a:off x="12300857" y="122464"/>
          <a:ext cx="1333500" cy="2923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November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4" name="TextBox 23"/>
        <xdr:cNvSpPr txBox="1"/>
      </xdr:nvSpPr>
      <xdr:spPr>
        <a:xfrm>
          <a:off x="14207128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55476</xdr:colOff>
      <xdr:row>2</xdr:row>
      <xdr:rowOff>35242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4254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15</xdr:col>
      <xdr:colOff>5234</xdr:colOff>
      <xdr:row>0</xdr:row>
      <xdr:rowOff>60732</xdr:rowOff>
    </xdr:from>
    <xdr:to>
      <xdr:col>16</xdr:col>
      <xdr:colOff>176892</xdr:colOff>
      <xdr:row>2</xdr:row>
      <xdr:rowOff>112695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795448" y="60732"/>
          <a:ext cx="539051" cy="432963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27" name="TextBox 26"/>
        <xdr:cNvSpPr txBox="1"/>
      </xdr:nvSpPr>
      <xdr:spPr>
        <a:xfrm>
          <a:off x="15527180" y="106405"/>
          <a:ext cx="899808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28" name="TextBox 27"/>
        <xdr:cNvSpPr txBox="1"/>
      </xdr:nvSpPr>
      <xdr:spPr>
        <a:xfrm>
          <a:off x="16775757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36</xdr:col>
      <xdr:colOff>227829</xdr:colOff>
      <xdr:row>2</xdr:row>
      <xdr:rowOff>61058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16" y="92674"/>
          <a:ext cx="358038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15841</xdr:colOff>
      <xdr:row>2</xdr:row>
      <xdr:rowOff>123513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305" y="29939"/>
          <a:ext cx="335064" cy="474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0</xdr:row>
      <xdr:rowOff>9524</xdr:rowOff>
    </xdr:from>
    <xdr:to>
      <xdr:col>42</xdr:col>
      <xdr:colOff>13606</xdr:colOff>
      <xdr:row>2</xdr:row>
      <xdr:rowOff>178594</xdr:rowOff>
    </xdr:to>
    <xdr:sp macro="" textlink="">
      <xdr:nvSpPr>
        <xdr:cNvPr id="2" name="Rectangle 1"/>
        <xdr:cNvSpPr/>
      </xdr:nvSpPr>
      <xdr:spPr>
        <a:xfrm>
          <a:off x="1819275" y="9524"/>
          <a:ext cx="15853681" cy="550070"/>
        </a:xfrm>
        <a:prstGeom prst="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9525</xdr:colOff>
      <xdr:row>0</xdr:row>
      <xdr:rowOff>0</xdr:rowOff>
    </xdr:from>
    <xdr:to>
      <xdr:col>3</xdr:col>
      <xdr:colOff>23813</xdr:colOff>
      <xdr:row>32</xdr:row>
      <xdr:rowOff>95250</xdr:rowOff>
    </xdr:to>
    <xdr:sp macro="" textlink="">
      <xdr:nvSpPr>
        <xdr:cNvPr id="3" name="Rectangle 2"/>
        <xdr:cNvSpPr/>
      </xdr:nvSpPr>
      <xdr:spPr>
        <a:xfrm>
          <a:off x="9525" y="0"/>
          <a:ext cx="1843088" cy="6448425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162937</xdr:rowOff>
    </xdr:from>
    <xdr:to>
      <xdr:col>3</xdr:col>
      <xdr:colOff>95250</xdr:colOff>
      <xdr:row>3</xdr:row>
      <xdr:rowOff>54429</xdr:rowOff>
    </xdr:to>
    <xdr:sp macro="" textlink="">
      <xdr:nvSpPr>
        <xdr:cNvPr id="4" name="Rounded Rectangle 3">
          <a:hlinkClick xmlns:r="http://schemas.openxmlformats.org/officeDocument/2006/relationships" r:id="rId1"/>
        </xdr:cNvPr>
        <xdr:cNvSpPr/>
      </xdr:nvSpPr>
      <xdr:spPr>
        <a:xfrm>
          <a:off x="0" y="162937"/>
          <a:ext cx="1932214" cy="462992"/>
        </a:xfrm>
        <a:prstGeom prst="roundRect">
          <a:avLst>
            <a:gd name="adj" fmla="val 3307"/>
          </a:avLst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  <a:ea typeface="+mn-ea"/>
              <a:cs typeface="+mn-cs"/>
            </a:rPr>
            <a:t>January</a:t>
          </a:r>
        </a:p>
      </xdr:txBody>
    </xdr:sp>
    <xdr:clientData/>
  </xdr:twoCellAnchor>
  <xdr:twoCellAnchor>
    <xdr:from>
      <xdr:col>0</xdr:col>
      <xdr:colOff>0</xdr:colOff>
      <xdr:row>3</xdr:row>
      <xdr:rowOff>48985</xdr:rowOff>
    </xdr:from>
    <xdr:to>
      <xdr:col>3</xdr:col>
      <xdr:colOff>86344</xdr:colOff>
      <xdr:row>5</xdr:row>
      <xdr:rowOff>164642</xdr:rowOff>
    </xdr:to>
    <xdr:sp macro="" textlink="">
      <xdr:nvSpPr>
        <xdr:cNvPr id="5" name="Rounded Rectangle 4">
          <a:hlinkClick xmlns:r="http://schemas.openxmlformats.org/officeDocument/2006/relationships" r:id="rId2"/>
        </xdr:cNvPr>
        <xdr:cNvSpPr/>
      </xdr:nvSpPr>
      <xdr:spPr>
        <a:xfrm>
          <a:off x="0" y="620485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February</a:t>
          </a:r>
        </a:p>
      </xdr:txBody>
    </xdr:sp>
    <xdr:clientData/>
  </xdr:twoCellAnchor>
  <xdr:twoCellAnchor>
    <xdr:from>
      <xdr:col>0</xdr:col>
      <xdr:colOff>0</xdr:colOff>
      <xdr:row>5</xdr:row>
      <xdr:rowOff>183015</xdr:rowOff>
    </xdr:from>
    <xdr:to>
      <xdr:col>3</xdr:col>
      <xdr:colOff>86344</xdr:colOff>
      <xdr:row>8</xdr:row>
      <xdr:rowOff>85439</xdr:rowOff>
    </xdr:to>
    <xdr:sp macro="" textlink="">
      <xdr:nvSpPr>
        <xdr:cNvPr id="6" name="Rounded Rectangle 5">
          <a:hlinkClick xmlns:r="http://schemas.openxmlformats.org/officeDocument/2006/relationships" r:id="rId3"/>
        </xdr:cNvPr>
        <xdr:cNvSpPr/>
      </xdr:nvSpPr>
      <xdr:spPr>
        <a:xfrm>
          <a:off x="0" y="1135515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March</a:t>
          </a:r>
        </a:p>
      </xdr:txBody>
    </xdr:sp>
    <xdr:clientData/>
  </xdr:twoCellAnchor>
  <xdr:twoCellAnchor>
    <xdr:from>
      <xdr:col>0</xdr:col>
      <xdr:colOff>0</xdr:colOff>
      <xdr:row>8</xdr:row>
      <xdr:rowOff>114639</xdr:rowOff>
    </xdr:from>
    <xdr:to>
      <xdr:col>3</xdr:col>
      <xdr:colOff>86344</xdr:colOff>
      <xdr:row>11</xdr:row>
      <xdr:rowOff>17064</xdr:rowOff>
    </xdr:to>
    <xdr:sp macro="" textlink="">
      <xdr:nvSpPr>
        <xdr:cNvPr id="7" name="Rounded Rectangle 6">
          <a:hlinkClick xmlns:r="http://schemas.openxmlformats.org/officeDocument/2006/relationships" r:id="rId4"/>
        </xdr:cNvPr>
        <xdr:cNvSpPr/>
      </xdr:nvSpPr>
      <xdr:spPr>
        <a:xfrm>
          <a:off x="0" y="1679460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April</a:t>
          </a:r>
        </a:p>
      </xdr:txBody>
    </xdr:sp>
    <xdr:clientData/>
  </xdr:twoCellAnchor>
  <xdr:twoCellAnchor>
    <xdr:from>
      <xdr:col>0</xdr:col>
      <xdr:colOff>0</xdr:colOff>
      <xdr:row>11</xdr:row>
      <xdr:rowOff>16669</xdr:rowOff>
    </xdr:from>
    <xdr:to>
      <xdr:col>3</xdr:col>
      <xdr:colOff>86344</xdr:colOff>
      <xdr:row>13</xdr:row>
      <xdr:rowOff>105112</xdr:rowOff>
    </xdr:to>
    <xdr:sp macro="" textlink="">
      <xdr:nvSpPr>
        <xdr:cNvPr id="8" name="Rounded Rectangle 7">
          <a:hlinkClick xmlns:r="http://schemas.openxmlformats.org/officeDocument/2006/relationships" r:id="rId5"/>
        </xdr:cNvPr>
        <xdr:cNvSpPr/>
      </xdr:nvSpPr>
      <xdr:spPr>
        <a:xfrm>
          <a:off x="0" y="2193812"/>
          <a:ext cx="1923308" cy="49665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May</a:t>
          </a:r>
        </a:p>
      </xdr:txBody>
    </xdr:sp>
    <xdr:clientData/>
  </xdr:twoCellAnchor>
  <xdr:twoCellAnchor>
    <xdr:from>
      <xdr:col>0</xdr:col>
      <xdr:colOff>0</xdr:colOff>
      <xdr:row>13</xdr:row>
      <xdr:rowOff>122123</xdr:rowOff>
    </xdr:from>
    <xdr:to>
      <xdr:col>3</xdr:col>
      <xdr:colOff>86344</xdr:colOff>
      <xdr:row>16</xdr:row>
      <xdr:rowOff>24546</xdr:rowOff>
    </xdr:to>
    <xdr:sp macro="" textlink="">
      <xdr:nvSpPr>
        <xdr:cNvPr id="9" name="Rounded Rectangle 8">
          <a:hlinkClick xmlns:r="http://schemas.openxmlformats.org/officeDocument/2006/relationships" r:id="rId6"/>
        </xdr:cNvPr>
        <xdr:cNvSpPr/>
      </xdr:nvSpPr>
      <xdr:spPr>
        <a:xfrm>
          <a:off x="0" y="2707480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June</a:t>
          </a:r>
        </a:p>
      </xdr:txBody>
    </xdr:sp>
    <xdr:clientData/>
  </xdr:twoCellAnchor>
  <xdr:twoCellAnchor>
    <xdr:from>
      <xdr:col>0</xdr:col>
      <xdr:colOff>0</xdr:colOff>
      <xdr:row>16</xdr:row>
      <xdr:rowOff>36055</xdr:rowOff>
    </xdr:from>
    <xdr:to>
      <xdr:col>3</xdr:col>
      <xdr:colOff>86344</xdr:colOff>
      <xdr:row>18</xdr:row>
      <xdr:rowOff>142588</xdr:rowOff>
    </xdr:to>
    <xdr:sp macro="" textlink="">
      <xdr:nvSpPr>
        <xdr:cNvPr id="10" name="Rounded Rectangle 9">
          <a:hlinkClick xmlns:r="http://schemas.openxmlformats.org/officeDocument/2006/relationships" r:id="rId7"/>
        </xdr:cNvPr>
        <xdr:cNvSpPr/>
      </xdr:nvSpPr>
      <xdr:spPr>
        <a:xfrm>
          <a:off x="0" y="3233734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July</a:t>
          </a:r>
        </a:p>
      </xdr:txBody>
    </xdr:sp>
    <xdr:clientData/>
  </xdr:twoCellAnchor>
  <xdr:twoCellAnchor>
    <xdr:from>
      <xdr:col>0</xdr:col>
      <xdr:colOff>0</xdr:colOff>
      <xdr:row>18</xdr:row>
      <xdr:rowOff>142189</xdr:rowOff>
    </xdr:from>
    <xdr:to>
      <xdr:col>3</xdr:col>
      <xdr:colOff>86344</xdr:colOff>
      <xdr:row>21</xdr:row>
      <xdr:rowOff>44613</xdr:rowOff>
    </xdr:to>
    <xdr:sp macro="" textlink="">
      <xdr:nvSpPr>
        <xdr:cNvPr id="11" name="Rounded Rectangle 10">
          <a:hlinkClick xmlns:r="http://schemas.openxmlformats.org/officeDocument/2006/relationships" r:id="rId8"/>
        </xdr:cNvPr>
        <xdr:cNvSpPr/>
      </xdr:nvSpPr>
      <xdr:spPr>
        <a:xfrm>
          <a:off x="0" y="3748082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August</a:t>
          </a:r>
        </a:p>
      </xdr:txBody>
    </xdr:sp>
    <xdr:clientData/>
  </xdr:twoCellAnchor>
  <xdr:twoCellAnchor>
    <xdr:from>
      <xdr:col>0</xdr:col>
      <xdr:colOff>0</xdr:colOff>
      <xdr:row>21</xdr:row>
      <xdr:rowOff>51288</xdr:rowOff>
    </xdr:from>
    <xdr:to>
      <xdr:col>3</xdr:col>
      <xdr:colOff>86344</xdr:colOff>
      <xdr:row>23</xdr:row>
      <xdr:rowOff>200429</xdr:rowOff>
    </xdr:to>
    <xdr:sp macro="" textlink="">
      <xdr:nvSpPr>
        <xdr:cNvPr id="12" name="Rounded Rectangle 11">
          <a:hlinkClick xmlns:r="http://schemas.openxmlformats.org/officeDocument/2006/relationships" r:id="rId9"/>
        </xdr:cNvPr>
        <xdr:cNvSpPr/>
      </xdr:nvSpPr>
      <xdr:spPr>
        <a:xfrm>
          <a:off x="0" y="4269502"/>
          <a:ext cx="1923308" cy="557356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September</a:t>
          </a:r>
        </a:p>
      </xdr:txBody>
    </xdr:sp>
    <xdr:clientData/>
  </xdr:twoCellAnchor>
  <xdr:twoCellAnchor>
    <xdr:from>
      <xdr:col>0</xdr:col>
      <xdr:colOff>13607</xdr:colOff>
      <xdr:row>23</xdr:row>
      <xdr:rowOff>190156</xdr:rowOff>
    </xdr:from>
    <xdr:to>
      <xdr:col>3</xdr:col>
      <xdr:colOff>99951</xdr:colOff>
      <xdr:row>26</xdr:row>
      <xdr:rowOff>92582</xdr:rowOff>
    </xdr:to>
    <xdr:sp macro="" textlink="">
      <xdr:nvSpPr>
        <xdr:cNvPr id="13" name="Rounded Rectangle 12">
          <a:hlinkClick xmlns:r="http://schemas.openxmlformats.org/officeDocument/2006/relationships" r:id="rId10"/>
        </xdr:cNvPr>
        <xdr:cNvSpPr/>
      </xdr:nvSpPr>
      <xdr:spPr>
        <a:xfrm>
          <a:off x="13607" y="4816585"/>
          <a:ext cx="1923308" cy="514747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8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October</a:t>
          </a:r>
        </a:p>
      </xdr:txBody>
    </xdr:sp>
    <xdr:clientData/>
  </xdr:twoCellAnchor>
  <xdr:twoCellAnchor>
    <xdr:from>
      <xdr:col>0</xdr:col>
      <xdr:colOff>13608</xdr:colOff>
      <xdr:row>26</xdr:row>
      <xdr:rowOff>113617</xdr:rowOff>
    </xdr:from>
    <xdr:to>
      <xdr:col>3</xdr:col>
      <xdr:colOff>99952</xdr:colOff>
      <xdr:row>29</xdr:row>
      <xdr:rowOff>16041</xdr:rowOff>
    </xdr:to>
    <xdr:sp macro="" textlink="">
      <xdr:nvSpPr>
        <xdr:cNvPr id="14" name="Rounded Rectangle 13">
          <a:hlinkClick xmlns:r="http://schemas.openxmlformats.org/officeDocument/2006/relationships" r:id="rId11"/>
        </xdr:cNvPr>
        <xdr:cNvSpPr/>
      </xdr:nvSpPr>
      <xdr:spPr>
        <a:xfrm>
          <a:off x="13608" y="5352367"/>
          <a:ext cx="1923308" cy="514745"/>
        </a:xfrm>
        <a:prstGeom prst="roundRect">
          <a:avLst/>
        </a:prstGeom>
        <a:solidFill>
          <a:schemeClr val="tx1">
            <a:lumMod val="65000"/>
            <a:lumOff val="35000"/>
          </a:schemeClr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000" b="1">
              <a:solidFill>
                <a:schemeClr val="bg2">
                  <a:lumMod val="75000"/>
                </a:schemeClr>
              </a:solidFill>
              <a:latin typeface="Bahnschrift" panose="020B0502040204020203" pitchFamily="34" charset="0"/>
            </a:rPr>
            <a:t>November</a:t>
          </a:r>
        </a:p>
      </xdr:txBody>
    </xdr:sp>
    <xdr:clientData/>
  </xdr:twoCellAnchor>
  <xdr:twoCellAnchor>
    <xdr:from>
      <xdr:col>0</xdr:col>
      <xdr:colOff>367393</xdr:colOff>
      <xdr:row>29</xdr:row>
      <xdr:rowOff>39076</xdr:rowOff>
    </xdr:from>
    <xdr:to>
      <xdr:col>3</xdr:col>
      <xdr:colOff>585106</xdr:colOff>
      <xdr:row>31</xdr:row>
      <xdr:rowOff>190499</xdr:rowOff>
    </xdr:to>
    <xdr:sp macro="" textlink="">
      <xdr:nvSpPr>
        <xdr:cNvPr id="15" name="Rounded Rectangle 14">
          <a:hlinkClick xmlns:r="http://schemas.openxmlformats.org/officeDocument/2006/relationships" r:id="rId12"/>
        </xdr:cNvPr>
        <xdr:cNvSpPr/>
      </xdr:nvSpPr>
      <xdr:spPr>
        <a:xfrm>
          <a:off x="367393" y="5890147"/>
          <a:ext cx="2054677" cy="532423"/>
        </a:xfrm>
        <a:prstGeom prst="roundRect">
          <a:avLst>
            <a:gd name="adj" fmla="val 50000"/>
          </a:avLst>
        </a:prstGeom>
        <a:solidFill>
          <a:schemeClr val="bg2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IN" sz="2800" b="1">
              <a:solidFill>
                <a:schemeClr val="tx1"/>
              </a:solidFill>
              <a:latin typeface="Bahnschrift" panose="020B0502040204020203" pitchFamily="34" charset="0"/>
              <a:ea typeface="+mn-ea"/>
              <a:cs typeface="+mn-cs"/>
            </a:rPr>
            <a:t>December</a:t>
          </a:r>
        </a:p>
      </xdr:txBody>
    </xdr:sp>
    <xdr:clientData/>
  </xdr:twoCellAnchor>
  <xdr:twoCellAnchor>
    <xdr:from>
      <xdr:col>43</xdr:col>
      <xdr:colOff>11905</xdr:colOff>
      <xdr:row>0</xdr:row>
      <xdr:rowOff>11906</xdr:rowOff>
    </xdr:from>
    <xdr:to>
      <xdr:col>57</xdr:col>
      <xdr:colOff>1012030</xdr:colOff>
      <xdr:row>2</xdr:row>
      <xdr:rowOff>178594</xdr:rowOff>
    </xdr:to>
    <xdr:sp macro="" textlink="">
      <xdr:nvSpPr>
        <xdr:cNvPr id="16" name="Rectangle 15"/>
        <xdr:cNvSpPr/>
      </xdr:nvSpPr>
      <xdr:spPr>
        <a:xfrm>
          <a:off x="18280855" y="11906"/>
          <a:ext cx="12249150" cy="547688"/>
        </a:xfrm>
        <a:prstGeom prst="rect">
          <a:avLst/>
        </a:prstGeom>
        <a:solidFill>
          <a:srgbClr val="DFE34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200" b="1">
              <a:solidFill>
                <a:schemeClr val="tx1"/>
              </a:solidFill>
              <a:latin typeface="Comic Sans MS" panose="030F0702030302020204" pitchFamily="66" charset="0"/>
            </a:rPr>
            <a:t>Monthly</a:t>
          </a:r>
          <a:r>
            <a:rPr lang="en-IN" sz="3200" b="1" baseline="0">
              <a:solidFill>
                <a:schemeClr val="tx1"/>
              </a:solidFill>
              <a:latin typeface="Comic Sans MS" panose="030F0702030302020204" pitchFamily="66" charset="0"/>
            </a:rPr>
            <a:t> Report</a:t>
          </a:r>
          <a:endParaRPr lang="en-IN" sz="3200" b="1">
            <a:solidFill>
              <a:schemeClr val="tx1"/>
            </a:solidFill>
            <a:latin typeface="Comic Sans MS" panose="030F0702030302020204" pitchFamily="66" charset="0"/>
          </a:endParaRPr>
        </a:p>
      </xdr:txBody>
    </xdr:sp>
    <xdr:clientData/>
  </xdr:twoCellAnchor>
  <xdr:twoCellAnchor>
    <xdr:from>
      <xdr:col>3</xdr:col>
      <xdr:colOff>598363</xdr:colOff>
      <xdr:row>0</xdr:row>
      <xdr:rowOff>94944</xdr:rowOff>
    </xdr:from>
    <xdr:to>
      <xdr:col>5</xdr:col>
      <xdr:colOff>366346</xdr:colOff>
      <xdr:row>2</xdr:row>
      <xdr:rowOff>48846</xdr:rowOff>
    </xdr:to>
    <xdr:sp macro="" textlink="">
      <xdr:nvSpPr>
        <xdr:cNvPr id="17" name="TextBox 16"/>
        <xdr:cNvSpPr txBox="1"/>
      </xdr:nvSpPr>
      <xdr:spPr>
        <a:xfrm>
          <a:off x="2427163" y="94944"/>
          <a:ext cx="987183" cy="334902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From</a:t>
          </a:r>
        </a:p>
      </xdr:txBody>
    </xdr:sp>
    <xdr:clientData/>
  </xdr:twoCellAnchor>
  <xdr:twoCellAnchor>
    <xdr:from>
      <xdr:col>5</xdr:col>
      <xdr:colOff>256442</xdr:colOff>
      <xdr:row>0</xdr:row>
      <xdr:rowOff>92564</xdr:rowOff>
    </xdr:from>
    <xdr:to>
      <xdr:col>7</xdr:col>
      <xdr:colOff>585106</xdr:colOff>
      <xdr:row>2</xdr:row>
      <xdr:rowOff>48847</xdr:rowOff>
    </xdr:to>
    <xdr:sp macro="" textlink="$H$5">
      <xdr:nvSpPr>
        <xdr:cNvPr id="18" name="TextBox 17"/>
        <xdr:cNvSpPr txBox="1"/>
      </xdr:nvSpPr>
      <xdr:spPr>
        <a:xfrm>
          <a:off x="3304442" y="92564"/>
          <a:ext cx="1547864" cy="3372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F4D1D66-54F5-4F63-8EA9-8095C6EE0CF3}" type="TxLink">
            <a:rPr lang="en-US" sz="16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01-Dec-2025</a:t>
          </a:fld>
          <a:endParaRPr lang="en-IN" sz="1600" b="1"/>
        </a:p>
      </xdr:txBody>
    </xdr:sp>
    <xdr:clientData/>
  </xdr:twoCellAnchor>
  <xdr:twoCellAnchor>
    <xdr:from>
      <xdr:col>8</xdr:col>
      <xdr:colOff>10466</xdr:colOff>
      <xdr:row>0</xdr:row>
      <xdr:rowOff>99088</xdr:rowOff>
    </xdr:from>
    <xdr:to>
      <xdr:col>8</xdr:col>
      <xdr:colOff>1034143</xdr:colOff>
      <xdr:row>2</xdr:row>
      <xdr:rowOff>99088</xdr:rowOff>
    </xdr:to>
    <xdr:sp macro="" textlink="">
      <xdr:nvSpPr>
        <xdr:cNvPr id="19" name="TextBox 18"/>
        <xdr:cNvSpPr txBox="1"/>
      </xdr:nvSpPr>
      <xdr:spPr>
        <a:xfrm>
          <a:off x="5167573" y="99088"/>
          <a:ext cx="1023677" cy="381000"/>
        </a:xfrm>
        <a:prstGeom prst="rect">
          <a:avLst/>
        </a:prstGeom>
        <a:solidFill>
          <a:srgbClr val="DFE34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600" b="1"/>
            <a:t>To</a:t>
          </a:r>
        </a:p>
      </xdr:txBody>
    </xdr:sp>
    <xdr:clientData/>
  </xdr:twoCellAnchor>
  <xdr:twoCellAnchor>
    <xdr:from>
      <xdr:col>8</xdr:col>
      <xdr:colOff>1033094</xdr:colOff>
      <xdr:row>0</xdr:row>
      <xdr:rowOff>99089</xdr:rowOff>
    </xdr:from>
    <xdr:to>
      <xdr:col>12</xdr:col>
      <xdr:colOff>13607</xdr:colOff>
      <xdr:row>2</xdr:row>
      <xdr:rowOff>99088</xdr:rowOff>
    </xdr:to>
    <xdr:sp macro="" textlink="$L$5">
      <xdr:nvSpPr>
        <xdr:cNvPr id="20" name="TextBox 19"/>
        <xdr:cNvSpPr txBox="1"/>
      </xdr:nvSpPr>
      <xdr:spPr>
        <a:xfrm>
          <a:off x="6190201" y="99089"/>
          <a:ext cx="1606692" cy="3809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5098FFA-9641-4D52-9623-6B6116D27472}" type="TxLink">
            <a:rPr lang="en-US" sz="16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31-Dec-2025</a:t>
          </a:fld>
          <a:endParaRPr lang="en-IN" sz="16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15</xdr:col>
      <xdr:colOff>20239</xdr:colOff>
      <xdr:row>0</xdr:row>
      <xdr:rowOff>86877</xdr:rowOff>
    </xdr:from>
    <xdr:to>
      <xdr:col>30</xdr:col>
      <xdr:colOff>13608</xdr:colOff>
      <xdr:row>2</xdr:row>
      <xdr:rowOff>99088</xdr:rowOff>
    </xdr:to>
    <xdr:sp macro="" textlink="">
      <xdr:nvSpPr>
        <xdr:cNvPr id="21" name="Rectangle 20"/>
        <xdr:cNvSpPr/>
      </xdr:nvSpPr>
      <xdr:spPr>
        <a:xfrm>
          <a:off x="8810453" y="86877"/>
          <a:ext cx="4878334" cy="39321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40821</xdr:colOff>
      <xdr:row>0</xdr:row>
      <xdr:rowOff>108858</xdr:rowOff>
    </xdr:from>
    <xdr:to>
      <xdr:col>25</xdr:col>
      <xdr:colOff>272143</xdr:colOff>
      <xdr:row>2</xdr:row>
      <xdr:rowOff>68036</xdr:rowOff>
    </xdr:to>
    <xdr:sp macro="" textlink="">
      <xdr:nvSpPr>
        <xdr:cNvPr id="22" name="TextBox 21"/>
        <xdr:cNvSpPr txBox="1"/>
      </xdr:nvSpPr>
      <xdr:spPr>
        <a:xfrm>
          <a:off x="9198428" y="108858"/>
          <a:ext cx="3197679" cy="3401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000" b="1">
              <a:solidFill>
                <a:schemeClr val="tx1"/>
              </a:solidFill>
            </a:rPr>
            <a:t>Dashboard for</a:t>
          </a:r>
          <a:r>
            <a:rPr lang="en-IN" sz="2000" b="1" baseline="0">
              <a:solidFill>
                <a:schemeClr val="tx1"/>
              </a:solidFill>
            </a:rPr>
            <a:t> the month of</a:t>
          </a:r>
          <a:endParaRPr lang="en-IN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25</xdr:col>
      <xdr:colOff>136072</xdr:colOff>
      <xdr:row>0</xdr:row>
      <xdr:rowOff>136071</xdr:rowOff>
    </xdr:from>
    <xdr:to>
      <xdr:col>29</xdr:col>
      <xdr:colOff>244929</xdr:colOff>
      <xdr:row>2</xdr:row>
      <xdr:rowOff>47450</xdr:rowOff>
    </xdr:to>
    <xdr:sp macro="" textlink="J$5">
      <xdr:nvSpPr>
        <xdr:cNvPr id="23" name="TextBox 22"/>
        <xdr:cNvSpPr txBox="1"/>
      </xdr:nvSpPr>
      <xdr:spPr>
        <a:xfrm>
          <a:off x="12260036" y="136071"/>
          <a:ext cx="1292679" cy="2923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08B3512A-D3DA-4AC8-B182-C840C280C273}" type="TxLink">
            <a:rPr lang="en-US" sz="2000" b="1" i="0" u="none" strike="noStrike">
              <a:solidFill>
                <a:srgbClr val="FF0000"/>
              </a:solidFill>
              <a:latin typeface="+mn-lt"/>
              <a:ea typeface="+mn-ea"/>
              <a:cs typeface="+mn-cs"/>
            </a:rPr>
            <a:pPr marL="0" indent="0" algn="ctr"/>
            <a:t>December</a:t>
          </a:fld>
          <a:endParaRPr lang="en-IN" sz="2000" b="1">
            <a:solidFill>
              <a:srgbClr val="FF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31</xdr:col>
      <xdr:colOff>367303</xdr:colOff>
      <xdr:row>0</xdr:row>
      <xdr:rowOff>94103</xdr:rowOff>
    </xdr:from>
    <xdr:to>
      <xdr:col>35</xdr:col>
      <xdr:colOff>105047</xdr:colOff>
      <xdr:row>2</xdr:row>
      <xdr:rowOff>13564</xdr:rowOff>
    </xdr:to>
    <xdr:sp macro="" textlink="">
      <xdr:nvSpPr>
        <xdr:cNvPr id="24" name="TextBox 23"/>
        <xdr:cNvSpPr txBox="1"/>
      </xdr:nvSpPr>
      <xdr:spPr>
        <a:xfrm>
          <a:off x="14207128" y="94103"/>
          <a:ext cx="975994" cy="300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Present</a:t>
          </a:r>
        </a:p>
      </xdr:txBody>
    </xdr:sp>
    <xdr:clientData/>
  </xdr:twoCellAnchor>
  <xdr:twoCellAnchor editAs="oneCell">
    <xdr:from>
      <xdr:col>31</xdr:col>
      <xdr:colOff>54429</xdr:colOff>
      <xdr:row>0</xdr:row>
      <xdr:rowOff>66856</xdr:rowOff>
    </xdr:from>
    <xdr:to>
      <xdr:col>32</xdr:col>
      <xdr:colOff>55476</xdr:colOff>
      <xdr:row>2</xdr:row>
      <xdr:rowOff>35242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94254" y="66856"/>
          <a:ext cx="382047" cy="349386"/>
        </a:xfrm>
        <a:prstGeom prst="rect">
          <a:avLst/>
        </a:prstGeom>
      </xdr:spPr>
    </xdr:pic>
    <xdr:clientData/>
  </xdr:twoCellAnchor>
  <xdr:twoCellAnchor editAs="oneCell">
    <xdr:from>
      <xdr:col>15</xdr:col>
      <xdr:colOff>32449</xdr:colOff>
      <xdr:row>0</xdr:row>
      <xdr:rowOff>60732</xdr:rowOff>
    </xdr:from>
    <xdr:to>
      <xdr:col>16</xdr:col>
      <xdr:colOff>204107</xdr:colOff>
      <xdr:row>2</xdr:row>
      <xdr:rowOff>112695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822663" y="60732"/>
          <a:ext cx="539051" cy="432963"/>
        </a:xfrm>
        <a:prstGeom prst="rect">
          <a:avLst/>
        </a:prstGeom>
      </xdr:spPr>
    </xdr:pic>
    <xdr:clientData/>
  </xdr:twoCellAnchor>
  <xdr:twoCellAnchor>
    <xdr:from>
      <xdr:col>36</xdr:col>
      <xdr:colOff>125255</xdr:colOff>
      <xdr:row>0</xdr:row>
      <xdr:rowOff>106405</xdr:rowOff>
    </xdr:from>
    <xdr:to>
      <xdr:col>38</xdr:col>
      <xdr:colOff>329738</xdr:colOff>
      <xdr:row>2</xdr:row>
      <xdr:rowOff>13567</xdr:rowOff>
    </xdr:to>
    <xdr:sp macro="" textlink="">
      <xdr:nvSpPr>
        <xdr:cNvPr id="27" name="TextBox 26"/>
        <xdr:cNvSpPr txBox="1"/>
      </xdr:nvSpPr>
      <xdr:spPr>
        <a:xfrm>
          <a:off x="15527180" y="106405"/>
          <a:ext cx="899808" cy="2881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Absent</a:t>
          </a:r>
        </a:p>
      </xdr:txBody>
    </xdr:sp>
    <xdr:clientData/>
  </xdr:twoCellAnchor>
  <xdr:twoCellAnchor>
    <xdr:from>
      <xdr:col>39</xdr:col>
      <xdr:colOff>297507</xdr:colOff>
      <xdr:row>0</xdr:row>
      <xdr:rowOff>94014</xdr:rowOff>
    </xdr:from>
    <xdr:to>
      <xdr:col>41</xdr:col>
      <xdr:colOff>527566</xdr:colOff>
      <xdr:row>2</xdr:row>
      <xdr:rowOff>25776</xdr:rowOff>
    </xdr:to>
    <xdr:sp macro="" textlink="">
      <xdr:nvSpPr>
        <xdr:cNvPr id="28" name="TextBox 27"/>
        <xdr:cNvSpPr txBox="1"/>
      </xdr:nvSpPr>
      <xdr:spPr>
        <a:xfrm>
          <a:off x="16775757" y="94014"/>
          <a:ext cx="801559" cy="3127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Leave</a:t>
          </a:r>
        </a:p>
      </xdr:txBody>
    </xdr:sp>
    <xdr:clientData/>
  </xdr:twoCellAnchor>
  <xdr:twoCellAnchor editAs="oneCell">
    <xdr:from>
      <xdr:col>35</xdr:col>
      <xdr:colOff>193641</xdr:colOff>
      <xdr:row>0</xdr:row>
      <xdr:rowOff>92674</xdr:rowOff>
    </xdr:from>
    <xdr:to>
      <xdr:col>36</xdr:col>
      <xdr:colOff>227830</xdr:colOff>
      <xdr:row>2</xdr:row>
      <xdr:rowOff>61058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71716" y="92674"/>
          <a:ext cx="358038" cy="349384"/>
        </a:xfrm>
        <a:prstGeom prst="rect">
          <a:avLst/>
        </a:prstGeom>
      </xdr:spPr>
    </xdr:pic>
    <xdr:clientData/>
  </xdr:twoCellAnchor>
  <xdr:twoCellAnchor editAs="oneCell">
    <xdr:from>
      <xdr:col>39</xdr:col>
      <xdr:colOff>59055</xdr:colOff>
      <xdr:row>0</xdr:row>
      <xdr:rowOff>29939</xdr:rowOff>
    </xdr:from>
    <xdr:to>
      <xdr:col>40</xdr:col>
      <xdr:colOff>70269</xdr:colOff>
      <xdr:row>2</xdr:row>
      <xdr:rowOff>123513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37305" y="29939"/>
          <a:ext cx="335064" cy="47457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Jan_Month" displayName="Jan_Month" ref="AR8:BF28" totalsRowShown="0" headerRowDxfId="282" dataDxfId="280" headerRowBorderDxfId="281" tableBorderDxfId="279">
  <tableColumns count="15">
    <tableColumn id="1" name="S No" dataDxfId="278"/>
    <tableColumn id="2" name="Employee Id" dataDxfId="277"/>
    <tableColumn id="15" name="Month" dataDxfId="276">
      <calculatedColumnFormula>$J$5</calculatedColumnFormula>
    </tableColumn>
    <tableColumn id="3" name="Employee Name" dataDxfId="275"/>
    <tableColumn id="4" name="Present" dataDxfId="274">
      <calculatedColumnFormula>COUNTIF($K9:$AO9,"*P*")</calculatedColumnFormula>
    </tableColumn>
    <tableColumn id="5" name="Absent" dataDxfId="273">
      <calculatedColumnFormula>COUNTIF($K9:$AO9,"*A*")</calculatedColumnFormula>
    </tableColumn>
    <tableColumn id="6" name="Leave" dataDxfId="272">
      <calculatedColumnFormula>COUNTIF($K9:$AO9,"L")</calculatedColumnFormula>
    </tableColumn>
    <tableColumn id="7" name="Week Off" dataDxfId="271">
      <calculatedColumnFormula>$J$9</calculatedColumnFormula>
    </tableColumn>
    <tableColumn id="8" name="Days" dataDxfId="270">
      <calculatedColumnFormula>$I$5</calculatedColumnFormula>
    </tableColumn>
    <tableColumn id="9" name="Paid Days" dataDxfId="269">
      <calculatedColumnFormula>Jan_Month[[#This Row],[Days]]-Jan_Month[[#This Row],[Absent]]</calculatedColumnFormula>
    </tableColumn>
    <tableColumn id="10" name="Salary" dataDxfId="268"/>
    <tableColumn id="11" name="PerDay Salary" dataDxfId="267">
      <calculatedColumnFormula>Jan_Month[[#This Row],[Salary]]/Jan_Month[[#This Row],[Days]]</calculatedColumnFormula>
    </tableColumn>
    <tableColumn id="12" name="Deduction" dataDxfId="266">
      <calculatedColumnFormula>Jan_Month[[#This Row],[PerDay Salary]]*Jan_Month[[#This Row],[Absent]]</calculatedColumnFormula>
    </tableColumn>
    <tableColumn id="13" name="Total Salary" dataDxfId="265">
      <calculatedColumnFormula>Jan_Month[[#This Row],[Salary]]-Jan_Month[[#This Row],[Deduction]]</calculatedColumnFormula>
    </tableColumn>
    <tableColumn id="14" name="SparkLine" dataDxfId="264"/>
  </tableColumns>
  <tableStyleInfo name="TableStyleLight18" showFirstColumn="0" showLastColumn="0" showRowStripes="0" showColumnStripes="0"/>
</table>
</file>

<file path=xl/tables/table2.xml><?xml version="1.0" encoding="utf-8"?>
<table xmlns="http://schemas.openxmlformats.org/spreadsheetml/2006/main" id="2" name="Feb_Month" displayName="Feb_Month" ref="AR8:BF28" totalsRowShown="0" headerRowDxfId="258" dataDxfId="256" headerRowBorderDxfId="257" tableBorderDxfId="255">
  <tableColumns count="15">
    <tableColumn id="1" name="S No" dataDxfId="254"/>
    <tableColumn id="2" name="Employee Id" dataDxfId="253"/>
    <tableColumn id="15" name="Month" dataDxfId="252">
      <calculatedColumnFormula>$J$5</calculatedColumnFormula>
    </tableColumn>
    <tableColumn id="3" name="Employee Name" dataDxfId="251"/>
    <tableColumn id="4" name="Present" dataDxfId="250">
      <calculatedColumnFormula>COUNTIF($K9:$AO9,"*P*")</calculatedColumnFormula>
    </tableColumn>
    <tableColumn id="5" name="Absent" dataDxfId="249">
      <calculatedColumnFormula>COUNTIF($K9:$AO9,"*A*")</calculatedColumnFormula>
    </tableColumn>
    <tableColumn id="6" name="Leave" dataDxfId="248">
      <calculatedColumnFormula>COUNTIF($K9:$AO9,"L")</calculatedColumnFormula>
    </tableColumn>
    <tableColumn id="7" name="Week Off" dataDxfId="247">
      <calculatedColumnFormula>$J$9</calculatedColumnFormula>
    </tableColumn>
    <tableColumn id="8" name="Days" dataDxfId="246">
      <calculatedColumnFormula>$I$5</calculatedColumnFormula>
    </tableColumn>
    <tableColumn id="9" name="Paid Days" dataDxfId="245">
      <calculatedColumnFormula>Feb_Month[[#This Row],[Days]]-Feb_Month[[#This Row],[Absent]]</calculatedColumnFormula>
    </tableColumn>
    <tableColumn id="10" name="Salary" dataDxfId="244"/>
    <tableColumn id="11" name="PerDay Salary" dataDxfId="243">
      <calculatedColumnFormula>Feb_Month[[#This Row],[Salary]]/Feb_Month[[#This Row],[Days]]</calculatedColumnFormula>
    </tableColumn>
    <tableColumn id="12" name="Deduction" dataDxfId="242">
      <calculatedColumnFormula>Feb_Month[[#This Row],[PerDay Salary]]*Feb_Month[[#This Row],[Absent]]</calculatedColumnFormula>
    </tableColumn>
    <tableColumn id="13" name="Total Salary" dataDxfId="241">
      <calculatedColumnFormula>Feb_Month[[#This Row],[Salary]]-Feb_Month[[#This Row],[Deduction]]</calculatedColumnFormula>
    </tableColumn>
    <tableColumn id="14" name="SparkLine" dataDxfId="240"/>
  </tableColumns>
  <tableStyleInfo name="TableStyleLight18" showFirstColumn="0" showLastColumn="0" showRowStripes="0" showColumnStripes="0"/>
</table>
</file>

<file path=xl/tables/table3.xml><?xml version="1.0" encoding="utf-8"?>
<table xmlns="http://schemas.openxmlformats.org/spreadsheetml/2006/main" id="3" name="Mar_Month" displayName="Mar_Month" ref="AR8:BF28" totalsRowShown="0" headerRowDxfId="234" dataDxfId="232" headerRowBorderDxfId="233" tableBorderDxfId="231">
  <tableColumns count="15">
    <tableColumn id="1" name="S No" dataDxfId="230"/>
    <tableColumn id="2" name="Employee Id" dataDxfId="229"/>
    <tableColumn id="15" name="Month" dataDxfId="228">
      <calculatedColumnFormula>$J$5</calculatedColumnFormula>
    </tableColumn>
    <tableColumn id="3" name="Employee Name" dataDxfId="227"/>
    <tableColumn id="4" name="Present" dataDxfId="226">
      <calculatedColumnFormula>COUNTIF($K9:$AO9,"*P*")</calculatedColumnFormula>
    </tableColumn>
    <tableColumn id="5" name="Absent" dataDxfId="225">
      <calculatedColumnFormula>COUNTIF($K9:$AO9,"*A*")</calculatedColumnFormula>
    </tableColumn>
    <tableColumn id="6" name="Leave" dataDxfId="224">
      <calculatedColumnFormula>COUNTIF($K9:$AO9,"L")</calculatedColumnFormula>
    </tableColumn>
    <tableColumn id="7" name="Week Off" dataDxfId="223">
      <calculatedColumnFormula>$J$9</calculatedColumnFormula>
    </tableColumn>
    <tableColumn id="8" name="Days" dataDxfId="222">
      <calculatedColumnFormula>$I$5</calculatedColumnFormula>
    </tableColumn>
    <tableColumn id="9" name="Paid Days" dataDxfId="221">
      <calculatedColumnFormula>Mar_Month[[#This Row],[Days]]-Mar_Month[[#This Row],[Absent]]</calculatedColumnFormula>
    </tableColumn>
    <tableColumn id="10" name="Salary" dataDxfId="220"/>
    <tableColumn id="11" name="PerDay Salary" dataDxfId="219">
      <calculatedColumnFormula>Mar_Month[[#This Row],[Salary]]/Mar_Month[[#This Row],[Days]]</calculatedColumnFormula>
    </tableColumn>
    <tableColumn id="12" name="Deduction" dataDxfId="218">
      <calculatedColumnFormula>Mar_Month[[#This Row],[PerDay Salary]]*Mar_Month[[#This Row],[Absent]]</calculatedColumnFormula>
    </tableColumn>
    <tableColumn id="13" name="Total Salary" dataDxfId="217">
      <calculatedColumnFormula>Mar_Month[[#This Row],[Salary]]-Mar_Month[[#This Row],[Deduction]]</calculatedColumnFormula>
    </tableColumn>
    <tableColumn id="14" name="SparkLine" dataDxfId="216"/>
  </tableColumns>
  <tableStyleInfo name="TableStyleLight18" showFirstColumn="0" showLastColumn="0" showRowStripes="0" showColumnStripes="0"/>
</table>
</file>

<file path=xl/tables/table4.xml><?xml version="1.0" encoding="utf-8"?>
<table xmlns="http://schemas.openxmlformats.org/spreadsheetml/2006/main" id="4" name="Apr_Month" displayName="Apr_Month" ref="AR8:BF28" totalsRowShown="0" headerRowDxfId="210" dataDxfId="208" headerRowBorderDxfId="209" tableBorderDxfId="207">
  <tableColumns count="15">
    <tableColumn id="1" name="S No" dataDxfId="206"/>
    <tableColumn id="2" name="Employee Id" dataDxfId="205"/>
    <tableColumn id="15" name="Month" dataDxfId="204">
      <calculatedColumnFormula>$J$5</calculatedColumnFormula>
    </tableColumn>
    <tableColumn id="3" name="Employee Name" dataDxfId="203"/>
    <tableColumn id="4" name="Present" dataDxfId="202">
      <calculatedColumnFormula>COUNTIF($K9:$AO9,"*P*")</calculatedColumnFormula>
    </tableColumn>
    <tableColumn id="5" name="Absent" dataDxfId="201">
      <calculatedColumnFormula>COUNTIF($K9:$AO9,"*A*")</calculatedColumnFormula>
    </tableColumn>
    <tableColumn id="6" name="Leave" dataDxfId="200">
      <calculatedColumnFormula>COUNTIF($K9:$AO9,"L")</calculatedColumnFormula>
    </tableColumn>
    <tableColumn id="7" name="Week Off" dataDxfId="199">
      <calculatedColumnFormula>$J$9</calculatedColumnFormula>
    </tableColumn>
    <tableColumn id="8" name="Days" dataDxfId="198">
      <calculatedColumnFormula>$I$5</calculatedColumnFormula>
    </tableColumn>
    <tableColumn id="9" name="Paid Days" dataDxfId="197">
      <calculatedColumnFormula>Apr_Month[[#This Row],[Days]]-Apr_Month[[#This Row],[Absent]]</calculatedColumnFormula>
    </tableColumn>
    <tableColumn id="10" name="Salary" dataDxfId="196"/>
    <tableColumn id="11" name="PerDay Salary" dataDxfId="195">
      <calculatedColumnFormula>Apr_Month[[#This Row],[Salary]]/Apr_Month[[#This Row],[Days]]</calculatedColumnFormula>
    </tableColumn>
    <tableColumn id="12" name="Deduction" dataDxfId="194">
      <calculatedColumnFormula>Apr_Month[[#This Row],[PerDay Salary]]*Apr_Month[[#This Row],[Absent]]</calculatedColumnFormula>
    </tableColumn>
    <tableColumn id="13" name="Total Salary" dataDxfId="193">
      <calculatedColumnFormula>Apr_Month[[#This Row],[Salary]]-Apr_Month[[#This Row],[Deduction]]</calculatedColumnFormula>
    </tableColumn>
    <tableColumn id="14" name="SparkLine" dataDxfId="192"/>
  </tableColumns>
  <tableStyleInfo name="TableStyleLight18" showFirstColumn="0" showLastColumn="0" showRowStripes="0" showColumnStripes="0"/>
</table>
</file>

<file path=xl/tables/table5.xml><?xml version="1.0" encoding="utf-8"?>
<table xmlns="http://schemas.openxmlformats.org/spreadsheetml/2006/main" id="5" name="May_Month" displayName="May_Month" ref="AR8:BF28" totalsRowShown="0" headerRowDxfId="186" dataDxfId="184" headerRowBorderDxfId="185" tableBorderDxfId="183">
  <tableColumns count="15">
    <tableColumn id="1" name="S No" dataDxfId="182"/>
    <tableColumn id="2" name="Employee Id" dataDxfId="181"/>
    <tableColumn id="15" name="Month" dataDxfId="180">
      <calculatedColumnFormula>$J$5</calculatedColumnFormula>
    </tableColumn>
    <tableColumn id="3" name="Employee Name" dataDxfId="179"/>
    <tableColumn id="4" name="Present" dataDxfId="178">
      <calculatedColumnFormula>COUNTIF($K9:$AO9,"*P*")</calculatedColumnFormula>
    </tableColumn>
    <tableColumn id="5" name="Absent" dataDxfId="177">
      <calculatedColumnFormula>COUNTIF($K9:$AO9,"*A*")</calculatedColumnFormula>
    </tableColumn>
    <tableColumn id="6" name="Leave" dataDxfId="176">
      <calculatedColumnFormula>COUNTIF($K9:$AO9,"L")</calculatedColumnFormula>
    </tableColumn>
    <tableColumn id="7" name="Week Off" dataDxfId="175">
      <calculatedColumnFormula>$J$9</calculatedColumnFormula>
    </tableColumn>
    <tableColumn id="8" name="Days" dataDxfId="174">
      <calculatedColumnFormula>$I$5</calculatedColumnFormula>
    </tableColumn>
    <tableColumn id="9" name="Paid Days" dataDxfId="173">
      <calculatedColumnFormula>May_Month[[#This Row],[Days]]-May_Month[[#This Row],[Absent]]</calculatedColumnFormula>
    </tableColumn>
    <tableColumn id="10" name="Salary" dataDxfId="172"/>
    <tableColumn id="11" name="PerDay Salary" dataDxfId="171">
      <calculatedColumnFormula>May_Month[[#This Row],[Salary]]/May_Month[[#This Row],[Days]]</calculatedColumnFormula>
    </tableColumn>
    <tableColumn id="12" name="Deduction" dataDxfId="170">
      <calculatedColumnFormula>May_Month[[#This Row],[PerDay Salary]]*May_Month[[#This Row],[Absent]]</calculatedColumnFormula>
    </tableColumn>
    <tableColumn id="13" name="Total Salary" dataDxfId="169">
      <calculatedColumnFormula>May_Month[[#This Row],[Salary]]-May_Month[[#This Row],[Deduction]]</calculatedColumnFormula>
    </tableColumn>
    <tableColumn id="14" name="SparkLine" dataDxfId="168"/>
  </tableColumns>
  <tableStyleInfo name="TableStyleLight18" showFirstColumn="0" showLastColumn="0" showRowStripes="0" showColumnStripes="0"/>
</table>
</file>

<file path=xl/tables/table6.xml><?xml version="1.0" encoding="utf-8"?>
<table xmlns="http://schemas.openxmlformats.org/spreadsheetml/2006/main" id="6" name="Jun_Month" displayName="Jun_Month" ref="AR8:BF28" totalsRowShown="0" headerRowDxfId="162" dataDxfId="160" headerRowBorderDxfId="161" tableBorderDxfId="159">
  <tableColumns count="15">
    <tableColumn id="1" name="S No" dataDxfId="158"/>
    <tableColumn id="2" name="Employee Id" dataDxfId="157"/>
    <tableColumn id="15" name="Month" dataDxfId="156">
      <calculatedColumnFormula>$J$5</calculatedColumnFormula>
    </tableColumn>
    <tableColumn id="3" name="Employee Name" dataDxfId="155"/>
    <tableColumn id="4" name="Present" dataDxfId="154">
      <calculatedColumnFormula>COUNTIF($K9:$AO9,"*P*")</calculatedColumnFormula>
    </tableColumn>
    <tableColumn id="5" name="Absent" dataDxfId="153">
      <calculatedColumnFormula>COUNTIF($K9:$AO9,"*A*")</calculatedColumnFormula>
    </tableColumn>
    <tableColumn id="6" name="Leave" dataDxfId="152">
      <calculatedColumnFormula>COUNTIF($K9:$AO9,"L")</calculatedColumnFormula>
    </tableColumn>
    <tableColumn id="7" name="Week Off" dataDxfId="151">
      <calculatedColumnFormula>$J$9</calculatedColumnFormula>
    </tableColumn>
    <tableColumn id="8" name="Days" dataDxfId="150">
      <calculatedColumnFormula>$I$5</calculatedColumnFormula>
    </tableColumn>
    <tableColumn id="9" name="Paid Days" dataDxfId="149">
      <calculatedColumnFormula>Jun_Month[[#This Row],[Days]]-Jun_Month[[#This Row],[Absent]]</calculatedColumnFormula>
    </tableColumn>
    <tableColumn id="10" name="Salary" dataDxfId="148"/>
    <tableColumn id="11" name="PerDay Salary" dataDxfId="147">
      <calculatedColumnFormula>Jun_Month[[#This Row],[Salary]]/Jun_Month[[#This Row],[Days]]</calculatedColumnFormula>
    </tableColumn>
    <tableColumn id="12" name="Deduction" dataDxfId="146">
      <calculatedColumnFormula>Jun_Month[[#This Row],[PerDay Salary]]*Jun_Month[[#This Row],[Absent]]</calculatedColumnFormula>
    </tableColumn>
    <tableColumn id="13" name="Total Salary" dataDxfId="145">
      <calculatedColumnFormula>Jun_Month[[#This Row],[Salary]]-Jun_Month[[#This Row],[Deduction]]</calculatedColumnFormula>
    </tableColumn>
    <tableColumn id="14" name="SparkLine" dataDxfId="144"/>
  </tableColumns>
  <tableStyleInfo name="TableStyleLight18" showFirstColumn="0" showLastColumn="0" showRowStripes="0" showColumnStripes="0"/>
</table>
</file>

<file path=xl/tables/table7.xml><?xml version="1.0" encoding="utf-8"?>
<table xmlns="http://schemas.openxmlformats.org/spreadsheetml/2006/main" id="7" name="Jul_Month" displayName="Jul_Month" ref="AR8:BF28" totalsRowShown="0" headerRowDxfId="138" dataDxfId="136" headerRowBorderDxfId="137" tableBorderDxfId="135">
  <tableColumns count="15">
    <tableColumn id="1" name="S No" dataDxfId="134"/>
    <tableColumn id="2" name="Employee Id" dataDxfId="133"/>
    <tableColumn id="15" name="Month" dataDxfId="132">
      <calculatedColumnFormula>$J$5</calculatedColumnFormula>
    </tableColumn>
    <tableColumn id="3" name="Employee Name" dataDxfId="131"/>
    <tableColumn id="4" name="Present" dataDxfId="130">
      <calculatedColumnFormula>COUNTIF($K9:$AO9,"*P*")</calculatedColumnFormula>
    </tableColumn>
    <tableColumn id="5" name="Absent" dataDxfId="129">
      <calculatedColumnFormula>COUNTIF($K9:$AO9,"*A*")</calculatedColumnFormula>
    </tableColumn>
    <tableColumn id="6" name="Leave" dataDxfId="128">
      <calculatedColumnFormula>COUNTIF($K9:$AO9,"L")</calculatedColumnFormula>
    </tableColumn>
    <tableColumn id="7" name="Week Off" dataDxfId="127">
      <calculatedColumnFormula>$J$9</calculatedColumnFormula>
    </tableColumn>
    <tableColumn id="8" name="Days" dataDxfId="126">
      <calculatedColumnFormula>$I$5</calculatedColumnFormula>
    </tableColumn>
    <tableColumn id="9" name="Paid Days" dataDxfId="125">
      <calculatedColumnFormula>Jul_Month[[#This Row],[Days]]-Jul_Month[[#This Row],[Absent]]</calculatedColumnFormula>
    </tableColumn>
    <tableColumn id="10" name="Salary" dataDxfId="124"/>
    <tableColumn id="11" name="PerDay Salary" dataDxfId="123">
      <calculatedColumnFormula>Jul_Month[[#This Row],[Salary]]/Jul_Month[[#This Row],[Days]]</calculatedColumnFormula>
    </tableColumn>
    <tableColumn id="12" name="Deduction" dataDxfId="122">
      <calculatedColumnFormula>Jul_Month[[#This Row],[PerDay Salary]]*Jul_Month[[#This Row],[Absent]]</calculatedColumnFormula>
    </tableColumn>
    <tableColumn id="13" name="Total Salary" dataDxfId="121">
      <calculatedColumnFormula>Jul_Month[[#This Row],[Salary]]-Jul_Month[[#This Row],[Deduction]]</calculatedColumnFormula>
    </tableColumn>
    <tableColumn id="14" name="SparkLine" dataDxfId="120"/>
  </tableColumns>
  <tableStyleInfo name="TableStyleLight18" showFirstColumn="0" showLastColumn="0" showRowStripes="0" showColumnStripes="0"/>
</table>
</file>

<file path=xl/tables/table8.xml><?xml version="1.0" encoding="utf-8"?>
<table xmlns="http://schemas.openxmlformats.org/spreadsheetml/2006/main" id="8" name="Aug_Month" displayName="Aug_Month" ref="AR8:BF28" totalsRowShown="0" headerRowDxfId="114" dataDxfId="112" headerRowBorderDxfId="113" tableBorderDxfId="111">
  <tableColumns count="15">
    <tableColumn id="1" name="S No" dataDxfId="110"/>
    <tableColumn id="2" name="Employee Id" dataDxfId="109"/>
    <tableColumn id="15" name="Month" dataDxfId="108">
      <calculatedColumnFormula>$J$5</calculatedColumnFormula>
    </tableColumn>
    <tableColumn id="3" name="Employee Name" dataDxfId="107"/>
    <tableColumn id="4" name="Present" dataDxfId="106">
      <calculatedColumnFormula>COUNTIF($K9:$AO9,"*P*")</calculatedColumnFormula>
    </tableColumn>
    <tableColumn id="5" name="Absent" dataDxfId="105">
      <calculatedColumnFormula>COUNTIF($K9:$AO9,"*A*")</calculatedColumnFormula>
    </tableColumn>
    <tableColumn id="6" name="Leave" dataDxfId="104">
      <calculatedColumnFormula>COUNTIF($K9:$AO9,"L")</calculatedColumnFormula>
    </tableColumn>
    <tableColumn id="7" name="Week Off" dataDxfId="103">
      <calculatedColumnFormula>$J$9</calculatedColumnFormula>
    </tableColumn>
    <tableColumn id="8" name="Days" dataDxfId="102">
      <calculatedColumnFormula>$I$5</calculatedColumnFormula>
    </tableColumn>
    <tableColumn id="9" name="Paid Days" dataDxfId="101">
      <calculatedColumnFormula>Aug_Month[[#This Row],[Days]]-Aug_Month[[#This Row],[Absent]]</calculatedColumnFormula>
    </tableColumn>
    <tableColumn id="10" name="Salary" dataDxfId="100"/>
    <tableColumn id="11" name="PerDay Salary" dataDxfId="99">
      <calculatedColumnFormula>Aug_Month[[#This Row],[Salary]]/Aug_Month[[#This Row],[Days]]</calculatedColumnFormula>
    </tableColumn>
    <tableColumn id="12" name="Deduction" dataDxfId="98">
      <calculatedColumnFormula>Aug_Month[[#This Row],[PerDay Salary]]*Aug_Month[[#This Row],[Absent]]</calculatedColumnFormula>
    </tableColumn>
    <tableColumn id="13" name="Total Salary" dataDxfId="97">
      <calculatedColumnFormula>Aug_Month[[#This Row],[Salary]]-Aug_Month[[#This Row],[Deduction]]</calculatedColumnFormula>
    </tableColumn>
    <tableColumn id="14" name="SparkLine" dataDxfId="96"/>
  </tableColumns>
  <tableStyleInfo name="TableStyleLight18" showFirstColumn="0" showLastColumn="0" showRowStripes="0" showColumnStripes="0"/>
</table>
</file>

<file path=xl/tables/table9.xml><?xml version="1.0" encoding="utf-8"?>
<table xmlns="http://schemas.openxmlformats.org/spreadsheetml/2006/main" id="9" name="Sep_Month" displayName="Sep_Month" ref="AR8:BF28" totalsRowShown="0" headerRowDxfId="90" dataDxfId="88" headerRowBorderDxfId="89" tableBorderDxfId="87">
  <tableColumns count="15">
    <tableColumn id="1" name="S No" dataDxfId="86"/>
    <tableColumn id="2" name="Employee Id" dataDxfId="85"/>
    <tableColumn id="15" name="Month" dataDxfId="84">
      <calculatedColumnFormula>$J$5</calculatedColumnFormula>
    </tableColumn>
    <tableColumn id="3" name="Employee Name" dataDxfId="83"/>
    <tableColumn id="4" name="Present" dataDxfId="82">
      <calculatedColumnFormula>COUNTIF($K9:$AO9,"*P*")</calculatedColumnFormula>
    </tableColumn>
    <tableColumn id="5" name="Absent" dataDxfId="81">
      <calculatedColumnFormula>COUNTIF($K9:$AO9,"*A*")</calculatedColumnFormula>
    </tableColumn>
    <tableColumn id="6" name="Leave" dataDxfId="80">
      <calculatedColumnFormula>COUNTIF($K9:$AO9,"L")</calculatedColumnFormula>
    </tableColumn>
    <tableColumn id="7" name="Week Off" dataDxfId="79">
      <calculatedColumnFormula>$J$9</calculatedColumnFormula>
    </tableColumn>
    <tableColumn id="8" name="Days" dataDxfId="78">
      <calculatedColumnFormula>$I$5</calculatedColumnFormula>
    </tableColumn>
    <tableColumn id="9" name="Paid Days" dataDxfId="77">
      <calculatedColumnFormula>Sep_Month[[#This Row],[Days]]-Sep_Month[[#This Row],[Absent]]</calculatedColumnFormula>
    </tableColumn>
    <tableColumn id="10" name="Salary" dataDxfId="76"/>
    <tableColumn id="11" name="PerDay Salary" dataDxfId="75">
      <calculatedColumnFormula>Sep_Month[[#This Row],[Salary]]/Sep_Month[[#This Row],[Days]]</calculatedColumnFormula>
    </tableColumn>
    <tableColumn id="12" name="Deduction" dataDxfId="74">
      <calculatedColumnFormula>Sep_Month[[#This Row],[PerDay Salary]]*Sep_Month[[#This Row],[Absent]]</calculatedColumnFormula>
    </tableColumn>
    <tableColumn id="13" name="Total Salary" dataDxfId="73">
      <calculatedColumnFormula>Sep_Month[[#This Row],[Salary]]-Sep_Month[[#This Row],[Deduction]]</calculatedColumnFormula>
    </tableColumn>
    <tableColumn id="14" name="SparkLine" dataDxfId="72"/>
  </tableColumns>
  <tableStyleInfo name="TableStyleLight18" showFirstColumn="0" showLastColumn="0" showRowStripes="0" showColumnStripes="0"/>
</table>
</file>

<file path=xl/tables/table10.xml><?xml version="1.0" encoding="utf-8"?>
<table xmlns="http://schemas.openxmlformats.org/spreadsheetml/2006/main" id="10" name="Oct_Month" displayName="Oct_Month" ref="AR8:BF28" totalsRowShown="0" headerRowDxfId="66" dataDxfId="64" headerRowBorderDxfId="65" tableBorderDxfId="63">
  <tableColumns count="15">
    <tableColumn id="1" name="S No" dataDxfId="62"/>
    <tableColumn id="2" name="Employee Id" dataDxfId="61"/>
    <tableColumn id="15" name="Month" dataDxfId="60">
      <calculatedColumnFormula>$J$5</calculatedColumnFormula>
    </tableColumn>
    <tableColumn id="3" name="Employee Name" dataDxfId="59"/>
    <tableColumn id="4" name="Present" dataDxfId="58">
      <calculatedColumnFormula>COUNTIF($K9:$AO9,"*P*")</calculatedColumnFormula>
    </tableColumn>
    <tableColumn id="5" name="Absent" dataDxfId="57">
      <calculatedColumnFormula>COUNTIF($K9:$AO9,"*A*")</calculatedColumnFormula>
    </tableColumn>
    <tableColumn id="6" name="Leave" dataDxfId="56">
      <calculatedColumnFormula>COUNTIF($K9:$AO9,"L")</calculatedColumnFormula>
    </tableColumn>
    <tableColumn id="7" name="Week Off" dataDxfId="55">
      <calculatedColumnFormula>$J$9</calculatedColumnFormula>
    </tableColumn>
    <tableColumn id="8" name="Days" dataDxfId="54">
      <calculatedColumnFormula>$I$5</calculatedColumnFormula>
    </tableColumn>
    <tableColumn id="9" name="Paid Days" dataDxfId="53">
      <calculatedColumnFormula>Oct_Month[[#This Row],[Days]]-Oct_Month[[#This Row],[Absent]]</calculatedColumnFormula>
    </tableColumn>
    <tableColumn id="10" name="Salary" dataDxfId="52"/>
    <tableColumn id="11" name="PerDay Salary" dataDxfId="51">
      <calculatedColumnFormula>Oct_Month[[#This Row],[Salary]]/Oct_Month[[#This Row],[Days]]</calculatedColumnFormula>
    </tableColumn>
    <tableColumn id="12" name="Deduction" dataDxfId="50">
      <calculatedColumnFormula>Oct_Month[[#This Row],[PerDay Salary]]*Oct_Month[[#This Row],[Absent]]</calculatedColumnFormula>
    </tableColumn>
    <tableColumn id="13" name="Total Salary" dataDxfId="49">
      <calculatedColumnFormula>Oct_Month[[#This Row],[Salary]]-Oct_Month[[#This Row],[Deduction]]</calculatedColumnFormula>
    </tableColumn>
    <tableColumn id="14" name="SparkLine" dataDxfId="48"/>
  </tableColumns>
  <tableStyleInfo name="TableStyleLight18" showFirstColumn="0" showLastColumn="0" showRowStripes="0" showColumnStripes="0"/>
</table>
</file>

<file path=xl/tables/table11.xml><?xml version="1.0" encoding="utf-8"?>
<table xmlns="http://schemas.openxmlformats.org/spreadsheetml/2006/main" id="11" name="Nov_Month" displayName="Nov_Month" ref="AR8:BF28" totalsRowShown="0" headerRowDxfId="42" dataDxfId="40" headerRowBorderDxfId="41" tableBorderDxfId="39">
  <tableColumns count="15">
    <tableColumn id="1" name="S No" dataDxfId="38"/>
    <tableColumn id="2" name="Employee Id" dataDxfId="37"/>
    <tableColumn id="15" name="Month" dataDxfId="36">
      <calculatedColumnFormula>$J$5</calculatedColumnFormula>
    </tableColumn>
    <tableColumn id="3" name="Employee Name" dataDxfId="35"/>
    <tableColumn id="4" name="Present" dataDxfId="34">
      <calculatedColumnFormula>COUNTIF($K9:$AO9,"*P*")</calculatedColumnFormula>
    </tableColumn>
    <tableColumn id="5" name="Absent" dataDxfId="33">
      <calculatedColumnFormula>COUNTIF($K9:$AO9,"*A*")</calculatedColumnFormula>
    </tableColumn>
    <tableColumn id="6" name="Leave" dataDxfId="32">
      <calculatedColumnFormula>COUNTIF($K9:$AO9,"L")</calculatedColumnFormula>
    </tableColumn>
    <tableColumn id="7" name="Week Off" dataDxfId="31">
      <calculatedColumnFormula>$J$9</calculatedColumnFormula>
    </tableColumn>
    <tableColumn id="8" name="Days" dataDxfId="30">
      <calculatedColumnFormula>$I$5</calculatedColumnFormula>
    </tableColumn>
    <tableColumn id="9" name="Paid Days" dataDxfId="29">
      <calculatedColumnFormula>Nov_Month[[#This Row],[Days]]-Nov_Month[[#This Row],[Absent]]</calculatedColumnFormula>
    </tableColumn>
    <tableColumn id="10" name="Salary" dataDxfId="28"/>
    <tableColumn id="11" name="PerDay Salary" dataDxfId="27">
      <calculatedColumnFormula>Nov_Month[[#This Row],[Salary]]/Nov_Month[[#This Row],[Days]]</calculatedColumnFormula>
    </tableColumn>
    <tableColumn id="12" name="Deduction" dataDxfId="26">
      <calculatedColumnFormula>Nov_Month[[#This Row],[PerDay Salary]]*Nov_Month[[#This Row],[Absent]]</calculatedColumnFormula>
    </tableColumn>
    <tableColumn id="13" name="Total Salary" dataDxfId="25">
      <calculatedColumnFormula>Nov_Month[[#This Row],[Salary]]-Nov_Month[[#This Row],[Deduction]]</calculatedColumnFormula>
    </tableColumn>
    <tableColumn id="14" name="SparkLine" dataDxfId="24"/>
  </tableColumns>
  <tableStyleInfo name="TableStyleLight18" showFirstColumn="0" showLastColumn="0" showRowStripes="0" showColumnStripes="0"/>
</table>
</file>

<file path=xl/tables/table12.xml><?xml version="1.0" encoding="utf-8"?>
<table xmlns="http://schemas.openxmlformats.org/spreadsheetml/2006/main" id="12" name="Dec_Month" displayName="Dec_Month" ref="AR8:BF28" totalsRowShown="0" headerRowDxfId="18" dataDxfId="16" headerRowBorderDxfId="17" tableBorderDxfId="15">
  <tableColumns count="15">
    <tableColumn id="1" name="S No" dataDxfId="14"/>
    <tableColumn id="2" name="Employee Id" dataDxfId="13"/>
    <tableColumn id="15" name="Month" dataDxfId="12">
      <calculatedColumnFormula>$J$5</calculatedColumnFormula>
    </tableColumn>
    <tableColumn id="3" name="Employee Name" dataDxfId="11"/>
    <tableColumn id="4" name="Present" dataDxfId="10">
      <calculatedColumnFormula>COUNTIF($K9:$AO9,"*P*")</calculatedColumnFormula>
    </tableColumn>
    <tableColumn id="5" name="Absent" dataDxfId="9">
      <calculatedColumnFormula>COUNTIF($K9:$AO9,"*A*")</calculatedColumnFormula>
    </tableColumn>
    <tableColumn id="6" name="Leave" dataDxfId="8">
      <calculatedColumnFormula>COUNTIF($K9:$AO9,"L")</calculatedColumnFormula>
    </tableColumn>
    <tableColumn id="7" name="Week Off" dataDxfId="7">
      <calculatedColumnFormula>$J$9</calculatedColumnFormula>
    </tableColumn>
    <tableColumn id="8" name="Days" dataDxfId="6">
      <calculatedColumnFormula>$I$5</calculatedColumnFormula>
    </tableColumn>
    <tableColumn id="9" name="Paid Days" dataDxfId="5">
      <calculatedColumnFormula>Dec_Month[[#This Row],[Days]]-Dec_Month[[#This Row],[Absent]]</calculatedColumnFormula>
    </tableColumn>
    <tableColumn id="10" name="Salary" dataDxfId="4"/>
    <tableColumn id="11" name="PerDay Salary" dataDxfId="3">
      <calculatedColumnFormula>Dec_Month[[#This Row],[Salary]]/Dec_Month[[#This Row],[Days]]</calculatedColumnFormula>
    </tableColumn>
    <tableColumn id="12" name="Deduction" dataDxfId="2">
      <calculatedColumnFormula>Dec_Month[[#This Row],[PerDay Salary]]*Dec_Month[[#This Row],[Absent]]</calculatedColumnFormula>
    </tableColumn>
    <tableColumn id="13" name="Total Salary" dataDxfId="1">
      <calculatedColumnFormula>Dec_Month[[#This Row],[Salary]]-Dec_Month[[#This Row],[Deduction]]</calculatedColumnFormula>
    </tableColumn>
    <tableColumn id="14" name="SparkLine" dataDxfId="0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 x14ac:dyDescent="0.25"/>
  <cols>
    <col min="1" max="1" width="10.42578125" bestFit="1" customWidth="1"/>
  </cols>
  <sheetData>
    <row r="1" spans="1:1" x14ac:dyDescent="0.25">
      <c r="A1" s="2">
        <v>45658</v>
      </c>
    </row>
    <row r="2" spans="1:1" x14ac:dyDescent="0.25">
      <c r="A2" s="2">
        <v>45689</v>
      </c>
    </row>
    <row r="3" spans="1:1" x14ac:dyDescent="0.25">
      <c r="A3" s="2">
        <v>45717</v>
      </c>
    </row>
    <row r="4" spans="1:1" x14ac:dyDescent="0.25">
      <c r="A4" s="2">
        <v>45748</v>
      </c>
    </row>
    <row r="5" spans="1:1" x14ac:dyDescent="0.25">
      <c r="A5" s="2">
        <v>45778</v>
      </c>
    </row>
    <row r="6" spans="1:1" x14ac:dyDescent="0.25">
      <c r="A6" s="2">
        <v>45809</v>
      </c>
    </row>
    <row r="7" spans="1:1" x14ac:dyDescent="0.25">
      <c r="A7" s="2">
        <v>45839</v>
      </c>
    </row>
    <row r="8" spans="1:1" x14ac:dyDescent="0.25">
      <c r="A8" s="2">
        <v>45870</v>
      </c>
    </row>
    <row r="9" spans="1:1" x14ac:dyDescent="0.25">
      <c r="A9" s="2">
        <v>45901</v>
      </c>
    </row>
    <row r="10" spans="1:1" x14ac:dyDescent="0.25">
      <c r="A10" s="2">
        <v>45931</v>
      </c>
    </row>
    <row r="11" spans="1:1" x14ac:dyDescent="0.25">
      <c r="A11" s="2">
        <v>45962</v>
      </c>
    </row>
    <row r="12" spans="1:1" x14ac:dyDescent="0.25">
      <c r="A12" s="2">
        <v>45992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selection activeCell="E4" sqref="E4"/>
    </sheetView>
  </sheetViews>
  <sheetFormatPr defaultRowHeight="15" x14ac:dyDescent="0.25"/>
  <cols>
    <col min="1" max="1" width="5.140625" bestFit="1" customWidth="1"/>
    <col min="2" max="2" width="19.140625" bestFit="1" customWidth="1"/>
    <col min="3" max="3" width="12.140625" bestFit="1" customWidth="1"/>
  </cols>
  <sheetData>
    <row r="1" spans="1:3" x14ac:dyDescent="0.25">
      <c r="A1" s="55" t="s">
        <v>0</v>
      </c>
      <c r="B1" s="55" t="s">
        <v>1</v>
      </c>
      <c r="C1" s="55" t="s">
        <v>2</v>
      </c>
    </row>
    <row r="2" spans="1:3" x14ac:dyDescent="0.25">
      <c r="A2" s="55"/>
      <c r="B2" s="55"/>
      <c r="C2" s="55"/>
    </row>
    <row r="3" spans="1:3" x14ac:dyDescent="0.25">
      <c r="A3" s="1">
        <v>1</v>
      </c>
      <c r="B3" s="45" t="s">
        <v>3</v>
      </c>
      <c r="C3" s="1">
        <v>1001</v>
      </c>
    </row>
    <row r="4" spans="1:3" x14ac:dyDescent="0.25">
      <c r="A4" s="1">
        <v>2</v>
      </c>
      <c r="B4" s="45" t="s">
        <v>4</v>
      </c>
      <c r="C4" s="1">
        <v>1002</v>
      </c>
    </row>
    <row r="5" spans="1:3" x14ac:dyDescent="0.25">
      <c r="A5" s="1">
        <v>3</v>
      </c>
      <c r="B5" s="45" t="s">
        <v>5</v>
      </c>
      <c r="C5" s="1">
        <v>1003</v>
      </c>
    </row>
    <row r="6" spans="1:3" x14ac:dyDescent="0.25">
      <c r="A6" s="1">
        <v>4</v>
      </c>
      <c r="B6" s="45" t="s">
        <v>6</v>
      </c>
      <c r="C6" s="1">
        <v>1004</v>
      </c>
    </row>
    <row r="7" spans="1:3" x14ac:dyDescent="0.25">
      <c r="A7" s="1">
        <v>5</v>
      </c>
      <c r="B7" s="45" t="s">
        <v>7</v>
      </c>
      <c r="C7" s="1">
        <v>1005</v>
      </c>
    </row>
    <row r="8" spans="1:3" x14ac:dyDescent="0.25">
      <c r="A8" s="1">
        <v>6</v>
      </c>
      <c r="B8" s="45" t="s">
        <v>8</v>
      </c>
      <c r="C8" s="1">
        <v>1006</v>
      </c>
    </row>
    <row r="9" spans="1:3" x14ac:dyDescent="0.25">
      <c r="A9" s="1">
        <v>7</v>
      </c>
      <c r="B9" s="45" t="s">
        <v>9</v>
      </c>
      <c r="C9" s="1">
        <v>1007</v>
      </c>
    </row>
    <row r="10" spans="1:3" x14ac:dyDescent="0.25">
      <c r="A10" s="1">
        <v>8</v>
      </c>
      <c r="B10" s="45" t="s">
        <v>10</v>
      </c>
      <c r="C10" s="1">
        <v>1008</v>
      </c>
    </row>
    <row r="11" spans="1:3" x14ac:dyDescent="0.25">
      <c r="A11" s="1">
        <v>9</v>
      </c>
      <c r="B11" s="45" t="s">
        <v>11</v>
      </c>
      <c r="C11" s="1">
        <v>1009</v>
      </c>
    </row>
    <row r="12" spans="1:3" x14ac:dyDescent="0.25">
      <c r="A12" s="1">
        <v>10</v>
      </c>
      <c r="B12" s="45" t="s">
        <v>12</v>
      </c>
      <c r="C12" s="1">
        <v>1010</v>
      </c>
    </row>
    <row r="13" spans="1:3" x14ac:dyDescent="0.25">
      <c r="A13" s="1">
        <v>11</v>
      </c>
      <c r="B13" s="45" t="s">
        <v>13</v>
      </c>
      <c r="C13" s="1">
        <v>1011</v>
      </c>
    </row>
    <row r="14" spans="1:3" x14ac:dyDescent="0.25">
      <c r="A14" s="1">
        <v>12</v>
      </c>
      <c r="B14" s="45" t="s">
        <v>14</v>
      </c>
      <c r="C14" s="1">
        <v>1012</v>
      </c>
    </row>
    <row r="15" spans="1:3" x14ac:dyDescent="0.25">
      <c r="A15" s="1">
        <v>13</v>
      </c>
      <c r="B15" s="45" t="s">
        <v>15</v>
      </c>
      <c r="C15" s="1">
        <v>1013</v>
      </c>
    </row>
    <row r="16" spans="1:3" x14ac:dyDescent="0.25">
      <c r="A16" s="1">
        <v>14</v>
      </c>
      <c r="B16" s="45" t="s">
        <v>16</v>
      </c>
      <c r="C16" s="1">
        <v>1014</v>
      </c>
    </row>
    <row r="17" spans="1:3" x14ac:dyDescent="0.25">
      <c r="A17" s="1">
        <v>15</v>
      </c>
      <c r="B17" s="45" t="s">
        <v>17</v>
      </c>
      <c r="C17" s="1">
        <v>1015</v>
      </c>
    </row>
    <row r="18" spans="1:3" x14ac:dyDescent="0.25">
      <c r="A18" s="1">
        <v>16</v>
      </c>
      <c r="B18" s="45" t="s">
        <v>18</v>
      </c>
      <c r="C18" s="1">
        <v>1016</v>
      </c>
    </row>
    <row r="19" spans="1:3" x14ac:dyDescent="0.25">
      <c r="A19" s="1">
        <v>17</v>
      </c>
      <c r="B19" s="45" t="s">
        <v>19</v>
      </c>
      <c r="C19" s="1">
        <v>1017</v>
      </c>
    </row>
    <row r="20" spans="1:3" x14ac:dyDescent="0.25">
      <c r="A20" s="1">
        <v>18</v>
      </c>
      <c r="B20" s="45" t="s">
        <v>20</v>
      </c>
      <c r="C20" s="1">
        <v>1018</v>
      </c>
    </row>
    <row r="21" spans="1:3" x14ac:dyDescent="0.25">
      <c r="A21" s="1">
        <v>19</v>
      </c>
      <c r="B21" s="45" t="s">
        <v>21</v>
      </c>
      <c r="C21" s="1">
        <v>1019</v>
      </c>
    </row>
    <row r="22" spans="1:3" x14ac:dyDescent="0.25">
      <c r="A22" s="1">
        <v>20</v>
      </c>
      <c r="B22" s="45" t="s">
        <v>22</v>
      </c>
      <c r="C22" s="1">
        <v>1020</v>
      </c>
    </row>
  </sheetData>
  <mergeCells count="3">
    <mergeCell ref="A1:A2"/>
    <mergeCell ref="B1:B2"/>
    <mergeCell ref="C1:C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zoomScale="70" zoomScaleNormal="70" workbookViewId="0">
      <selection activeCell="G7" sqref="G7:I7"/>
    </sheetView>
  </sheetViews>
  <sheetFormatPr defaultRowHeight="15" x14ac:dyDescent="0.25"/>
  <cols>
    <col min="1" max="3" width="9.140625" style="48"/>
    <col min="4" max="4" width="9.140625" style="47"/>
    <col min="5" max="6" width="9.140625" style="48"/>
    <col min="7" max="7" width="9.140625" style="48" customWidth="1"/>
    <col min="8" max="8" width="15.28515625" style="48" bestFit="1" customWidth="1"/>
    <col min="9" max="9" width="22.42578125" style="48" bestFit="1" customWidth="1"/>
    <col min="10" max="10" width="10" style="48" bestFit="1" customWidth="1"/>
    <col min="11" max="37" width="4" style="48" customWidth="1"/>
    <col min="38" max="38" width="8.140625" style="48" customWidth="1"/>
    <col min="39" max="41" width="4" style="48" customWidth="1"/>
    <col min="42" max="43" width="9.140625" style="48"/>
    <col min="44" max="44" width="7.28515625" style="48" customWidth="1"/>
    <col min="45" max="46" width="14.140625" style="48" customWidth="1"/>
    <col min="47" max="47" width="17.85546875" style="48" customWidth="1"/>
    <col min="48" max="48" width="9.85546875" style="48" customWidth="1"/>
    <col min="49" max="49" width="9.28515625" style="48" customWidth="1"/>
    <col min="50" max="50" width="9.140625" style="48"/>
    <col min="51" max="51" width="11.85546875" style="48" customWidth="1"/>
    <col min="52" max="52" width="9.140625" style="48"/>
    <col min="53" max="53" width="12" style="48" customWidth="1"/>
    <col min="54" max="54" width="12.42578125" style="48" bestFit="1" customWidth="1"/>
    <col min="55" max="55" width="15.7109375" style="48" customWidth="1"/>
    <col min="56" max="56" width="12.140625" style="48" customWidth="1"/>
    <col min="57" max="57" width="13.7109375" style="48" customWidth="1"/>
    <col min="58" max="58" width="15.5703125" style="48" bestFit="1" customWidth="1"/>
    <col min="59" max="16384" width="9.140625" style="48"/>
  </cols>
  <sheetData>
    <row r="1" spans="1:59" x14ac:dyDescent="0.25">
      <c r="A1" s="47"/>
      <c r="B1" s="47"/>
      <c r="C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</row>
    <row r="2" spans="1:59" x14ac:dyDescent="0.25">
      <c r="A2" s="47"/>
      <c r="B2" s="47"/>
      <c r="C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</row>
    <row r="3" spans="1:59" x14ac:dyDescent="0.25">
      <c r="A3" s="47"/>
      <c r="B3" s="47"/>
      <c r="C3" s="47"/>
      <c r="E3" s="43"/>
      <c r="F3" s="43"/>
      <c r="G3" s="43"/>
      <c r="H3" s="43"/>
      <c r="I3" s="43"/>
      <c r="J3" s="43"/>
      <c r="K3" s="43"/>
      <c r="L3" s="43"/>
      <c r="M3" s="43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</row>
    <row r="4" spans="1:59" x14ac:dyDescent="0.25">
      <c r="A4" s="47"/>
      <c r="B4" s="47"/>
      <c r="C4" s="47"/>
      <c r="D4" s="48"/>
      <c r="E4" s="43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 s="47"/>
      <c r="B5" s="47"/>
      <c r="C5" s="47"/>
      <c r="D5" s="48"/>
      <c r="E5" s="43"/>
      <c r="F5" s="43"/>
      <c r="G5" s="43" t="s">
        <v>27</v>
      </c>
      <c r="H5" s="44">
        <v>45658</v>
      </c>
      <c r="I5" s="43">
        <f>(DATEDIF($H$5,$L$5,"D"))+1</f>
        <v>31</v>
      </c>
      <c r="J5" s="43" t="str">
        <f>TEXT(H5,"MMMM")</f>
        <v>January</v>
      </c>
      <c r="K5" s="43" t="s">
        <v>28</v>
      </c>
      <c r="L5" s="44">
        <f>EOMONTH(H5,0)</f>
        <v>45688</v>
      </c>
      <c r="M5" s="43"/>
      <c r="BD5" s="49"/>
    </row>
    <row r="6" spans="1:59" ht="15.75" thickBot="1" x14ac:dyDescent="0.3">
      <c r="A6" s="47"/>
      <c r="B6" s="47"/>
      <c r="C6" s="47"/>
      <c r="D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30" thickTop="1" x14ac:dyDescent="0.25">
      <c r="A7" s="47"/>
      <c r="B7" s="47"/>
      <c r="C7" s="47"/>
      <c r="D7" s="48"/>
      <c r="F7" s="50"/>
      <c r="G7" s="61" t="s">
        <v>30</v>
      </c>
      <c r="H7" s="62"/>
      <c r="I7" s="63"/>
      <c r="J7" s="15" t="s">
        <v>29</v>
      </c>
      <c r="K7" s="59" t="str">
        <f>TEXT(K8,"DDD")</f>
        <v>Wed</v>
      </c>
      <c r="L7" s="59" t="str">
        <f t="shared" ref="L7:AO7" si="0">TEXT(L8,"DDD")</f>
        <v>Thu</v>
      </c>
      <c r="M7" s="59" t="str">
        <f t="shared" si="0"/>
        <v>Fri</v>
      </c>
      <c r="N7" s="59" t="str">
        <f t="shared" si="0"/>
        <v>Sat</v>
      </c>
      <c r="O7" s="59" t="str">
        <f t="shared" si="0"/>
        <v>Sun</v>
      </c>
      <c r="P7" s="59" t="str">
        <f t="shared" si="0"/>
        <v>Mon</v>
      </c>
      <c r="Q7" s="59" t="str">
        <f t="shared" si="0"/>
        <v>Tue</v>
      </c>
      <c r="R7" s="59" t="str">
        <f t="shared" si="0"/>
        <v>Wed</v>
      </c>
      <c r="S7" s="59" t="str">
        <f t="shared" si="0"/>
        <v>Thu</v>
      </c>
      <c r="T7" s="59" t="str">
        <f t="shared" si="0"/>
        <v>Fri</v>
      </c>
      <c r="U7" s="59" t="str">
        <f t="shared" si="0"/>
        <v>Sat</v>
      </c>
      <c r="V7" s="59" t="str">
        <f t="shared" si="0"/>
        <v>Sun</v>
      </c>
      <c r="W7" s="59" t="str">
        <f t="shared" si="0"/>
        <v>Mon</v>
      </c>
      <c r="X7" s="59" t="str">
        <f t="shared" si="0"/>
        <v>Tue</v>
      </c>
      <c r="Y7" s="59" t="str">
        <f t="shared" si="0"/>
        <v>Wed</v>
      </c>
      <c r="Z7" s="59" t="str">
        <f t="shared" si="0"/>
        <v>Thu</v>
      </c>
      <c r="AA7" s="59" t="str">
        <f t="shared" si="0"/>
        <v>Fri</v>
      </c>
      <c r="AB7" s="59" t="str">
        <f t="shared" si="0"/>
        <v>Sat</v>
      </c>
      <c r="AC7" s="59" t="str">
        <f t="shared" si="0"/>
        <v>Sun</v>
      </c>
      <c r="AD7" s="59" t="str">
        <f t="shared" si="0"/>
        <v>Mon</v>
      </c>
      <c r="AE7" s="59" t="str">
        <f t="shared" si="0"/>
        <v>Tue</v>
      </c>
      <c r="AF7" s="59" t="str">
        <f t="shared" si="0"/>
        <v>Wed</v>
      </c>
      <c r="AG7" s="59" t="str">
        <f t="shared" si="0"/>
        <v>Thu</v>
      </c>
      <c r="AH7" s="59" t="str">
        <f t="shared" si="0"/>
        <v>Fri</v>
      </c>
      <c r="AI7" s="59" t="str">
        <f t="shared" si="0"/>
        <v>Sat</v>
      </c>
      <c r="AJ7" s="59" t="str">
        <f t="shared" si="0"/>
        <v>Sun</v>
      </c>
      <c r="AK7" s="59" t="str">
        <f t="shared" si="0"/>
        <v>Mon</v>
      </c>
      <c r="AL7" s="59" t="str">
        <f t="shared" si="0"/>
        <v>Tue</v>
      </c>
      <c r="AM7" s="59" t="str">
        <f t="shared" si="0"/>
        <v>Wed</v>
      </c>
      <c r="AN7" s="59" t="str">
        <f t="shared" si="0"/>
        <v>Thu</v>
      </c>
      <c r="AO7" s="60" t="str">
        <f t="shared" si="0"/>
        <v>Fri</v>
      </c>
      <c r="AP7" s="50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 s="47"/>
      <c r="B8" s="47"/>
      <c r="C8" s="47"/>
      <c r="D8" s="48"/>
      <c r="F8" s="50"/>
      <c r="G8" s="9" t="s">
        <v>23</v>
      </c>
      <c r="H8" s="10" t="s">
        <v>24</v>
      </c>
      <c r="I8" s="11" t="s">
        <v>25</v>
      </c>
      <c r="J8" s="12" t="s">
        <v>26</v>
      </c>
      <c r="K8" s="13">
        <f>H5</f>
        <v>45658</v>
      </c>
      <c r="L8" s="13">
        <f>IF(K8&lt;$L$5,K8+1,"")</f>
        <v>45659</v>
      </c>
      <c r="M8" s="13">
        <f t="shared" ref="M8:AO8" si="1">IF(L8&lt;$L$5,L8+1,"")</f>
        <v>45660</v>
      </c>
      <c r="N8" s="13">
        <f t="shared" si="1"/>
        <v>45661</v>
      </c>
      <c r="O8" s="13">
        <f t="shared" si="1"/>
        <v>45662</v>
      </c>
      <c r="P8" s="13">
        <f t="shared" si="1"/>
        <v>45663</v>
      </c>
      <c r="Q8" s="13">
        <f t="shared" si="1"/>
        <v>45664</v>
      </c>
      <c r="R8" s="13">
        <f t="shared" si="1"/>
        <v>45665</v>
      </c>
      <c r="S8" s="13">
        <f t="shared" si="1"/>
        <v>45666</v>
      </c>
      <c r="T8" s="13">
        <f t="shared" si="1"/>
        <v>45667</v>
      </c>
      <c r="U8" s="13">
        <f t="shared" si="1"/>
        <v>45668</v>
      </c>
      <c r="V8" s="13">
        <f t="shared" si="1"/>
        <v>45669</v>
      </c>
      <c r="W8" s="13">
        <f t="shared" si="1"/>
        <v>45670</v>
      </c>
      <c r="X8" s="13">
        <f t="shared" si="1"/>
        <v>45671</v>
      </c>
      <c r="Y8" s="13">
        <f t="shared" si="1"/>
        <v>45672</v>
      </c>
      <c r="Z8" s="13">
        <f t="shared" si="1"/>
        <v>45673</v>
      </c>
      <c r="AA8" s="13">
        <f t="shared" si="1"/>
        <v>45674</v>
      </c>
      <c r="AB8" s="13">
        <f t="shared" si="1"/>
        <v>45675</v>
      </c>
      <c r="AC8" s="13">
        <f t="shared" si="1"/>
        <v>45676</v>
      </c>
      <c r="AD8" s="13">
        <f t="shared" si="1"/>
        <v>45677</v>
      </c>
      <c r="AE8" s="13">
        <f t="shared" si="1"/>
        <v>45678</v>
      </c>
      <c r="AF8" s="13">
        <f t="shared" si="1"/>
        <v>45679</v>
      </c>
      <c r="AG8" s="13">
        <f t="shared" si="1"/>
        <v>45680</v>
      </c>
      <c r="AH8" s="13">
        <f t="shared" si="1"/>
        <v>45681</v>
      </c>
      <c r="AI8" s="13">
        <f t="shared" si="1"/>
        <v>45682</v>
      </c>
      <c r="AJ8" s="13">
        <f t="shared" si="1"/>
        <v>45683</v>
      </c>
      <c r="AK8" s="13">
        <f t="shared" si="1"/>
        <v>45684</v>
      </c>
      <c r="AL8" s="13">
        <f t="shared" si="1"/>
        <v>45685</v>
      </c>
      <c r="AM8" s="13">
        <f t="shared" si="1"/>
        <v>45686</v>
      </c>
      <c r="AN8" s="13">
        <f t="shared" si="1"/>
        <v>45687</v>
      </c>
      <c r="AO8" s="14">
        <f t="shared" si="1"/>
        <v>45688</v>
      </c>
      <c r="AP8" s="51"/>
      <c r="AQ8" s="52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53"/>
    </row>
    <row r="9" spans="1:59" ht="16.5" thickTop="1" x14ac:dyDescent="0.25">
      <c r="A9" s="47"/>
      <c r="B9" s="47"/>
      <c r="C9" s="47"/>
      <c r="D9" s="48"/>
      <c r="F9" s="50"/>
      <c r="G9" s="3">
        <v>1</v>
      </c>
      <c r="H9" s="4">
        <v>1001</v>
      </c>
      <c r="I9" s="5" t="s">
        <v>3</v>
      </c>
      <c r="J9" s="37">
        <f>COUNTIF($K$7:$AO$7,"Sun")</f>
        <v>4</v>
      </c>
      <c r="K9" s="38" t="s">
        <v>44</v>
      </c>
      <c r="L9" s="38" t="s">
        <v>44</v>
      </c>
      <c r="M9" s="38" t="s">
        <v>44</v>
      </c>
      <c r="N9" s="38" t="s">
        <v>43</v>
      </c>
      <c r="O9" s="38" t="str">
        <f>IF(O$7="Sun","WO","")</f>
        <v>WO</v>
      </c>
      <c r="P9" s="38" t="s">
        <v>43</v>
      </c>
      <c r="Q9" s="38" t="s">
        <v>43</v>
      </c>
      <c r="R9" s="38" t="s">
        <v>42</v>
      </c>
      <c r="S9" s="38" t="s">
        <v>43</v>
      </c>
      <c r="T9" s="38" t="s">
        <v>43</v>
      </c>
      <c r="U9" s="38" t="s">
        <v>43</v>
      </c>
      <c r="V9" s="38" t="str">
        <f t="shared" ref="O9:AJ17" si="2">IF(V$7="Sun","WO","")</f>
        <v>WO</v>
      </c>
      <c r="W9" s="38" t="s">
        <v>43</v>
      </c>
      <c r="X9" s="38" t="s">
        <v>43</v>
      </c>
      <c r="Y9" s="38" t="s">
        <v>43</v>
      </c>
      <c r="Z9" s="38" t="s">
        <v>42</v>
      </c>
      <c r="AA9" s="38" t="s">
        <v>43</v>
      </c>
      <c r="AB9" s="38" t="s">
        <v>43</v>
      </c>
      <c r="AC9" s="38" t="str">
        <f t="shared" si="2"/>
        <v>WO</v>
      </c>
      <c r="AD9" s="38" t="s">
        <v>43</v>
      </c>
      <c r="AE9" s="38" t="s">
        <v>44</v>
      </c>
      <c r="AF9" s="38" t="s">
        <v>43</v>
      </c>
      <c r="AG9" s="38" t="s">
        <v>43</v>
      </c>
      <c r="AH9" s="38" t="s">
        <v>43</v>
      </c>
      <c r="AI9" s="38" t="s">
        <v>43</v>
      </c>
      <c r="AJ9" s="38" t="str">
        <f t="shared" si="2"/>
        <v>WO</v>
      </c>
      <c r="AK9" s="38" t="s">
        <v>43</v>
      </c>
      <c r="AL9" s="38" t="s">
        <v>43</v>
      </c>
      <c r="AM9" s="38" t="s">
        <v>43</v>
      </c>
      <c r="AN9" s="38" t="s">
        <v>43</v>
      </c>
      <c r="AO9" s="39" t="s">
        <v>43</v>
      </c>
      <c r="AP9" s="50"/>
      <c r="AQ9" s="53"/>
      <c r="AR9" s="19">
        <v>1</v>
      </c>
      <c r="AS9" s="19">
        <v>1001</v>
      </c>
      <c r="AT9" s="19" t="str">
        <f t="shared" ref="AT9:AT28" si="3">$J$5</f>
        <v>January</v>
      </c>
      <c r="AU9" s="19" t="s">
        <v>3</v>
      </c>
      <c r="AV9" s="26">
        <f t="shared" ref="AV9:AV28" si="4">COUNTIF($K9:$AO9,"*P*")</f>
        <v>21</v>
      </c>
      <c r="AW9" s="20">
        <f t="shared" ref="AW9:AW28" si="5">COUNTIF($K9:$AO9,"*A*")</f>
        <v>4</v>
      </c>
      <c r="AX9" s="20">
        <f t="shared" ref="AX9:AX28" si="6">COUNTIF($K9:$AO9,"L")</f>
        <v>2</v>
      </c>
      <c r="AY9" s="20">
        <f t="shared" ref="AY9:AY28" si="7">$J$9</f>
        <v>4</v>
      </c>
      <c r="AZ9" s="20">
        <f t="shared" ref="AZ9:AZ28" si="8">$I$5</f>
        <v>31</v>
      </c>
      <c r="BA9" s="20">
        <f>Jan_Month[[#This Row],[Days]]-Jan_Month[[#This Row],[Absent]]</f>
        <v>27</v>
      </c>
      <c r="BB9" s="21">
        <v>10000</v>
      </c>
      <c r="BC9" s="21">
        <f>Jan_Month[[#This Row],[Salary]]/Jan_Month[[#This Row],[Days]]</f>
        <v>322.58064516129031</v>
      </c>
      <c r="BD9" s="24">
        <f>Jan_Month[[#This Row],[PerDay Salary]]*Jan_Month[[#This Row],[Absent]]</f>
        <v>1290.3225806451612</v>
      </c>
      <c r="BE9" s="23">
        <f>Jan_Month[[#This Row],[Salary]]-Jan_Month[[#This Row],[Deduction]]</f>
        <v>8709.677419354839</v>
      </c>
      <c r="BF9" s="22"/>
      <c r="BG9" s="53"/>
    </row>
    <row r="10" spans="1:59" ht="15.75" x14ac:dyDescent="0.25">
      <c r="A10" s="47"/>
      <c r="B10" s="47"/>
      <c r="C10" s="47"/>
      <c r="D10" s="48"/>
      <c r="F10" s="50"/>
      <c r="G10" s="3">
        <v>2</v>
      </c>
      <c r="H10" s="4">
        <v>1002</v>
      </c>
      <c r="I10" s="5" t="s">
        <v>4</v>
      </c>
      <c r="J10" s="37">
        <f t="shared" ref="J10:J28" si="9">COUNTIF($K$7:$AO$7,"Sun")</f>
        <v>4</v>
      </c>
      <c r="K10" s="38" t="s">
        <v>43</v>
      </c>
      <c r="L10" s="38" t="s">
        <v>43</v>
      </c>
      <c r="M10" s="38" t="s">
        <v>43</v>
      </c>
      <c r="N10" s="38" t="s">
        <v>43</v>
      </c>
      <c r="O10" s="38" t="str">
        <f>IF(O$7="Sun","WO","")</f>
        <v>WO</v>
      </c>
      <c r="P10" s="38" t="s">
        <v>43</v>
      </c>
      <c r="Q10" s="38" t="s">
        <v>43</v>
      </c>
      <c r="R10" s="38" t="s">
        <v>42</v>
      </c>
      <c r="S10" s="38" t="s">
        <v>43</v>
      </c>
      <c r="T10" s="38" t="s">
        <v>43</v>
      </c>
      <c r="U10" s="38" t="s">
        <v>43</v>
      </c>
      <c r="V10" s="38" t="str">
        <f t="shared" si="2"/>
        <v>WO</v>
      </c>
      <c r="W10" s="38" t="s">
        <v>43</v>
      </c>
      <c r="X10" s="38" t="s">
        <v>43</v>
      </c>
      <c r="Y10" s="38" t="s">
        <v>43</v>
      </c>
      <c r="Z10" s="38" t="s">
        <v>42</v>
      </c>
      <c r="AA10" s="38" t="s">
        <v>43</v>
      </c>
      <c r="AB10" s="38" t="s">
        <v>43</v>
      </c>
      <c r="AC10" s="38" t="str">
        <f t="shared" si="2"/>
        <v>WO</v>
      </c>
      <c r="AD10" s="38" t="s">
        <v>43</v>
      </c>
      <c r="AE10" s="38" t="s">
        <v>43</v>
      </c>
      <c r="AF10" s="38" t="s">
        <v>43</v>
      </c>
      <c r="AG10" s="38" t="s">
        <v>43</v>
      </c>
      <c r="AH10" s="38" t="s">
        <v>43</v>
      </c>
      <c r="AI10" s="38" t="s">
        <v>43</v>
      </c>
      <c r="AJ10" s="38" t="str">
        <f t="shared" si="2"/>
        <v>WO</v>
      </c>
      <c r="AK10" s="38" t="s">
        <v>43</v>
      </c>
      <c r="AL10" s="38" t="s">
        <v>43</v>
      </c>
      <c r="AM10" s="38" t="s">
        <v>44</v>
      </c>
      <c r="AN10" s="38" t="s">
        <v>43</v>
      </c>
      <c r="AO10" s="39" t="s">
        <v>43</v>
      </c>
      <c r="AP10" s="50"/>
      <c r="AQ10" s="53"/>
      <c r="AR10" s="19">
        <v>2</v>
      </c>
      <c r="AS10" s="19">
        <v>1002</v>
      </c>
      <c r="AT10" s="19" t="str">
        <f t="shared" si="3"/>
        <v>January</v>
      </c>
      <c r="AU10" s="19" t="s">
        <v>4</v>
      </c>
      <c r="AV10" s="27">
        <f t="shared" si="4"/>
        <v>24</v>
      </c>
      <c r="AW10" s="22">
        <f t="shared" si="5"/>
        <v>1</v>
      </c>
      <c r="AX10" s="22">
        <f t="shared" si="6"/>
        <v>2</v>
      </c>
      <c r="AY10" s="22">
        <f t="shared" si="7"/>
        <v>4</v>
      </c>
      <c r="AZ10" s="22">
        <f t="shared" si="8"/>
        <v>31</v>
      </c>
      <c r="BA10" s="22">
        <f>Jan_Month[[#This Row],[Days]]-Jan_Month[[#This Row],[Absent]]</f>
        <v>30</v>
      </c>
      <c r="BB10" s="23">
        <v>20000</v>
      </c>
      <c r="BC10" s="23">
        <f>Jan_Month[[#This Row],[Salary]]/Jan_Month[[#This Row],[Days]]</f>
        <v>645.16129032258061</v>
      </c>
      <c r="BD10" s="24">
        <f>Jan_Month[[#This Row],[PerDay Salary]]*Jan_Month[[#This Row],[Absent]]</f>
        <v>645.16129032258061</v>
      </c>
      <c r="BE10" s="23">
        <f>Jan_Month[[#This Row],[Salary]]-Jan_Month[[#This Row],[Deduction]]</f>
        <v>19354.83870967742</v>
      </c>
      <c r="BF10" s="22"/>
      <c r="BG10" s="53"/>
    </row>
    <row r="11" spans="1:59" ht="15.75" x14ac:dyDescent="0.25">
      <c r="A11" s="47"/>
      <c r="B11" s="47"/>
      <c r="C11" s="47"/>
      <c r="D11" s="48"/>
      <c r="F11" s="50"/>
      <c r="G11" s="3">
        <v>3</v>
      </c>
      <c r="H11" s="4">
        <v>1003</v>
      </c>
      <c r="I11" s="5" t="s">
        <v>5</v>
      </c>
      <c r="J11" s="37">
        <f t="shared" si="9"/>
        <v>4</v>
      </c>
      <c r="K11" s="38" t="s">
        <v>43</v>
      </c>
      <c r="L11" s="38" t="s">
        <v>43</v>
      </c>
      <c r="M11" s="38" t="s">
        <v>43</v>
      </c>
      <c r="N11" s="38" t="s">
        <v>43</v>
      </c>
      <c r="O11" s="38" t="str">
        <f t="shared" si="2"/>
        <v>WO</v>
      </c>
      <c r="P11" s="38" t="s">
        <v>43</v>
      </c>
      <c r="Q11" s="38" t="s">
        <v>43</v>
      </c>
      <c r="R11" s="38" t="s">
        <v>42</v>
      </c>
      <c r="S11" s="38" t="s">
        <v>43</v>
      </c>
      <c r="T11" s="38" t="s">
        <v>43</v>
      </c>
      <c r="U11" s="38" t="s">
        <v>43</v>
      </c>
      <c r="V11" s="38" t="str">
        <f t="shared" si="2"/>
        <v>WO</v>
      </c>
      <c r="W11" s="38" t="s">
        <v>43</v>
      </c>
      <c r="X11" s="38" t="s">
        <v>43</v>
      </c>
      <c r="Y11" s="38" t="s">
        <v>43</v>
      </c>
      <c r="Z11" s="38" t="s">
        <v>42</v>
      </c>
      <c r="AA11" s="38" t="s">
        <v>43</v>
      </c>
      <c r="AB11" s="38" t="s">
        <v>43</v>
      </c>
      <c r="AC11" s="38" t="str">
        <f t="shared" si="2"/>
        <v>WO</v>
      </c>
      <c r="AD11" s="38" t="s">
        <v>43</v>
      </c>
      <c r="AE11" s="38" t="s">
        <v>43</v>
      </c>
      <c r="AF11" s="38" t="s">
        <v>43</v>
      </c>
      <c r="AG11" s="38" t="s">
        <v>43</v>
      </c>
      <c r="AH11" s="38" t="s">
        <v>44</v>
      </c>
      <c r="AI11" s="38" t="s">
        <v>43</v>
      </c>
      <c r="AJ11" s="38" t="str">
        <f t="shared" si="2"/>
        <v>WO</v>
      </c>
      <c r="AK11" s="38" t="s">
        <v>43</v>
      </c>
      <c r="AL11" s="38" t="s">
        <v>43</v>
      </c>
      <c r="AM11" s="38" t="s">
        <v>43</v>
      </c>
      <c r="AN11" s="38" t="s">
        <v>43</v>
      </c>
      <c r="AO11" s="39" t="s">
        <v>43</v>
      </c>
      <c r="AP11" s="50"/>
      <c r="AQ11" s="53"/>
      <c r="AR11" s="19">
        <v>3</v>
      </c>
      <c r="AS11" s="19">
        <v>1003</v>
      </c>
      <c r="AT11" s="19" t="str">
        <f t="shared" si="3"/>
        <v>January</v>
      </c>
      <c r="AU11" s="19" t="s">
        <v>5</v>
      </c>
      <c r="AV11" s="27">
        <f t="shared" si="4"/>
        <v>24</v>
      </c>
      <c r="AW11" s="22">
        <f t="shared" si="5"/>
        <v>1</v>
      </c>
      <c r="AX11" s="22">
        <f t="shared" si="6"/>
        <v>2</v>
      </c>
      <c r="AY11" s="22">
        <f t="shared" si="7"/>
        <v>4</v>
      </c>
      <c r="AZ11" s="22">
        <f t="shared" si="8"/>
        <v>31</v>
      </c>
      <c r="BA11" s="22">
        <f>Jan_Month[[#This Row],[Days]]-Jan_Month[[#This Row],[Absent]]</f>
        <v>30</v>
      </c>
      <c r="BB11" s="23">
        <v>25000</v>
      </c>
      <c r="BC11" s="23">
        <f>Jan_Month[[#This Row],[Salary]]/Jan_Month[[#This Row],[Days]]</f>
        <v>806.45161290322585</v>
      </c>
      <c r="BD11" s="24">
        <f>Jan_Month[[#This Row],[PerDay Salary]]*Jan_Month[[#This Row],[Absent]]</f>
        <v>806.45161290322585</v>
      </c>
      <c r="BE11" s="23">
        <f>Jan_Month[[#This Row],[Salary]]-Jan_Month[[#This Row],[Deduction]]</f>
        <v>24193.548387096773</v>
      </c>
      <c r="BF11" s="22"/>
      <c r="BG11" s="53"/>
    </row>
    <row r="12" spans="1:59" ht="15.75" x14ac:dyDescent="0.25">
      <c r="A12" s="47"/>
      <c r="B12" s="47"/>
      <c r="C12" s="47"/>
      <c r="D12" s="48"/>
      <c r="F12" s="50"/>
      <c r="G12" s="3">
        <v>4</v>
      </c>
      <c r="H12" s="4">
        <v>1004</v>
      </c>
      <c r="I12" s="5" t="s">
        <v>6</v>
      </c>
      <c r="J12" s="37">
        <f t="shared" si="9"/>
        <v>4</v>
      </c>
      <c r="K12" s="38" t="s">
        <v>43</v>
      </c>
      <c r="L12" s="38" t="s">
        <v>43</v>
      </c>
      <c r="M12" s="38" t="s">
        <v>43</v>
      </c>
      <c r="N12" s="38" t="s">
        <v>43</v>
      </c>
      <c r="O12" s="38" t="str">
        <f t="shared" si="2"/>
        <v>WO</v>
      </c>
      <c r="P12" s="38" t="s">
        <v>43</v>
      </c>
      <c r="Q12" s="38" t="s">
        <v>43</v>
      </c>
      <c r="R12" s="38" t="s">
        <v>42</v>
      </c>
      <c r="S12" s="38" t="s">
        <v>45</v>
      </c>
      <c r="T12" s="38" t="s">
        <v>43</v>
      </c>
      <c r="U12" s="38" t="s">
        <v>43</v>
      </c>
      <c r="V12" s="38" t="str">
        <f t="shared" si="2"/>
        <v>WO</v>
      </c>
      <c r="W12" s="38" t="s">
        <v>43</v>
      </c>
      <c r="X12" s="38" t="s">
        <v>43</v>
      </c>
      <c r="Y12" s="38" t="s">
        <v>43</v>
      </c>
      <c r="Z12" s="38" t="s">
        <v>42</v>
      </c>
      <c r="AA12" s="38" t="s">
        <v>43</v>
      </c>
      <c r="AB12" s="38" t="s">
        <v>43</v>
      </c>
      <c r="AC12" s="38" t="str">
        <f t="shared" si="2"/>
        <v>WO</v>
      </c>
      <c r="AD12" s="38" t="s">
        <v>43</v>
      </c>
      <c r="AE12" s="38" t="s">
        <v>43</v>
      </c>
      <c r="AF12" s="38" t="s">
        <v>43</v>
      </c>
      <c r="AG12" s="38" t="s">
        <v>43</v>
      </c>
      <c r="AH12" s="38" t="s">
        <v>43</v>
      </c>
      <c r="AI12" s="38" t="s">
        <v>43</v>
      </c>
      <c r="AJ12" s="38" t="str">
        <f t="shared" si="2"/>
        <v>WO</v>
      </c>
      <c r="AK12" s="38" t="s">
        <v>43</v>
      </c>
      <c r="AL12" s="38" t="s">
        <v>43</v>
      </c>
      <c r="AM12" s="38" t="s">
        <v>43</v>
      </c>
      <c r="AN12" s="38" t="s">
        <v>43</v>
      </c>
      <c r="AO12" s="39" t="s">
        <v>43</v>
      </c>
      <c r="AP12" s="50"/>
      <c r="AQ12" s="53"/>
      <c r="AR12" s="19">
        <v>4</v>
      </c>
      <c r="AS12" s="19">
        <v>1004</v>
      </c>
      <c r="AT12" s="19" t="str">
        <f t="shared" si="3"/>
        <v>January</v>
      </c>
      <c r="AU12" s="19" t="s">
        <v>6</v>
      </c>
      <c r="AV12" s="27">
        <f t="shared" si="4"/>
        <v>24</v>
      </c>
      <c r="AW12" s="22">
        <f t="shared" si="5"/>
        <v>1</v>
      </c>
      <c r="AX12" s="22">
        <f t="shared" si="6"/>
        <v>2</v>
      </c>
      <c r="AY12" s="22">
        <f t="shared" si="7"/>
        <v>4</v>
      </c>
      <c r="AZ12" s="22">
        <f t="shared" si="8"/>
        <v>31</v>
      </c>
      <c r="BA12" s="22">
        <f>Jan_Month[[#This Row],[Days]]-Jan_Month[[#This Row],[Absent]]</f>
        <v>30</v>
      </c>
      <c r="BB12" s="23">
        <v>30000</v>
      </c>
      <c r="BC12" s="23">
        <f>Jan_Month[[#This Row],[Salary]]/Jan_Month[[#This Row],[Days]]</f>
        <v>967.74193548387098</v>
      </c>
      <c r="BD12" s="24">
        <f>Jan_Month[[#This Row],[PerDay Salary]]*Jan_Month[[#This Row],[Absent]]</f>
        <v>967.74193548387098</v>
      </c>
      <c r="BE12" s="23">
        <f>Jan_Month[[#This Row],[Salary]]-Jan_Month[[#This Row],[Deduction]]</f>
        <v>29032.258064516129</v>
      </c>
      <c r="BF12" s="22"/>
      <c r="BG12" s="53"/>
    </row>
    <row r="13" spans="1:59" ht="15.75" x14ac:dyDescent="0.25">
      <c r="A13" s="47"/>
      <c r="B13" s="47"/>
      <c r="C13" s="47"/>
      <c r="D13" s="48"/>
      <c r="F13" s="50"/>
      <c r="G13" s="3">
        <v>5</v>
      </c>
      <c r="H13" s="4">
        <v>1005</v>
      </c>
      <c r="I13" s="5" t="s">
        <v>7</v>
      </c>
      <c r="J13" s="37">
        <f t="shared" si="9"/>
        <v>4</v>
      </c>
      <c r="K13" s="38" t="s">
        <v>43</v>
      </c>
      <c r="L13" s="38" t="s">
        <v>43</v>
      </c>
      <c r="M13" s="38" t="s">
        <v>43</v>
      </c>
      <c r="N13" s="38" t="s">
        <v>43</v>
      </c>
      <c r="O13" s="38" t="str">
        <f t="shared" si="2"/>
        <v>WO</v>
      </c>
      <c r="P13" s="38" t="s">
        <v>44</v>
      </c>
      <c r="Q13" s="38" t="s">
        <v>43</v>
      </c>
      <c r="R13" s="38" t="s">
        <v>42</v>
      </c>
      <c r="S13" s="38" t="s">
        <v>43</v>
      </c>
      <c r="T13" s="38" t="s">
        <v>43</v>
      </c>
      <c r="U13" s="38" t="s">
        <v>43</v>
      </c>
      <c r="V13" s="38" t="str">
        <f t="shared" si="2"/>
        <v>WO</v>
      </c>
      <c r="W13" s="38" t="s">
        <v>43</v>
      </c>
      <c r="X13" s="38" t="s">
        <v>43</v>
      </c>
      <c r="Y13" s="38" t="s">
        <v>43</v>
      </c>
      <c r="Z13" s="38" t="s">
        <v>42</v>
      </c>
      <c r="AA13" s="38" t="s">
        <v>43</v>
      </c>
      <c r="AB13" s="38" t="s">
        <v>43</v>
      </c>
      <c r="AC13" s="38" t="str">
        <f t="shared" si="2"/>
        <v>WO</v>
      </c>
      <c r="AD13" s="38" t="s">
        <v>43</v>
      </c>
      <c r="AE13" s="38" t="s">
        <v>43</v>
      </c>
      <c r="AF13" s="38" t="s">
        <v>43</v>
      </c>
      <c r="AG13" s="38" t="s">
        <v>43</v>
      </c>
      <c r="AH13" s="38" t="s">
        <v>43</v>
      </c>
      <c r="AI13" s="38" t="s">
        <v>43</v>
      </c>
      <c r="AJ13" s="38" t="str">
        <f t="shared" si="2"/>
        <v>WO</v>
      </c>
      <c r="AK13" s="38" t="s">
        <v>43</v>
      </c>
      <c r="AL13" s="38" t="s">
        <v>43</v>
      </c>
      <c r="AM13" s="38" t="s">
        <v>43</v>
      </c>
      <c r="AN13" s="38" t="s">
        <v>43</v>
      </c>
      <c r="AO13" s="39" t="s">
        <v>43</v>
      </c>
      <c r="AP13" s="50"/>
      <c r="AQ13" s="53"/>
      <c r="AR13" s="19">
        <v>5</v>
      </c>
      <c r="AS13" s="19">
        <v>1005</v>
      </c>
      <c r="AT13" s="19" t="str">
        <f t="shared" si="3"/>
        <v>January</v>
      </c>
      <c r="AU13" s="19" t="s">
        <v>7</v>
      </c>
      <c r="AV13" s="27">
        <f t="shared" si="4"/>
        <v>24</v>
      </c>
      <c r="AW13" s="22">
        <f t="shared" si="5"/>
        <v>1</v>
      </c>
      <c r="AX13" s="22">
        <f t="shared" si="6"/>
        <v>2</v>
      </c>
      <c r="AY13" s="22">
        <f t="shared" si="7"/>
        <v>4</v>
      </c>
      <c r="AZ13" s="22">
        <f t="shared" si="8"/>
        <v>31</v>
      </c>
      <c r="BA13" s="22">
        <f>Jan_Month[[#This Row],[Days]]-Jan_Month[[#This Row],[Absent]]</f>
        <v>30</v>
      </c>
      <c r="BB13" s="23">
        <v>45000</v>
      </c>
      <c r="BC13" s="23">
        <f>Jan_Month[[#This Row],[Salary]]/Jan_Month[[#This Row],[Days]]</f>
        <v>1451.6129032258063</v>
      </c>
      <c r="BD13" s="24">
        <f>Jan_Month[[#This Row],[PerDay Salary]]*Jan_Month[[#This Row],[Absent]]</f>
        <v>1451.6129032258063</v>
      </c>
      <c r="BE13" s="23">
        <f>Jan_Month[[#This Row],[Salary]]-Jan_Month[[#This Row],[Deduction]]</f>
        <v>43548.387096774197</v>
      </c>
      <c r="BF13" s="22"/>
      <c r="BG13" s="53"/>
    </row>
    <row r="14" spans="1:59" ht="15.75" x14ac:dyDescent="0.25">
      <c r="A14" s="47"/>
      <c r="B14" s="47"/>
      <c r="C14" s="47"/>
      <c r="D14" s="48"/>
      <c r="F14" s="50"/>
      <c r="G14" s="3">
        <v>6</v>
      </c>
      <c r="H14" s="4">
        <v>1006</v>
      </c>
      <c r="I14" s="5" t="s">
        <v>8</v>
      </c>
      <c r="J14" s="37">
        <f t="shared" si="9"/>
        <v>4</v>
      </c>
      <c r="K14" s="38" t="s">
        <v>43</v>
      </c>
      <c r="L14" s="38" t="s">
        <v>43</v>
      </c>
      <c r="M14" s="38" t="s">
        <v>43</v>
      </c>
      <c r="N14" s="38" t="s">
        <v>43</v>
      </c>
      <c r="O14" s="38" t="str">
        <f t="shared" si="2"/>
        <v>WO</v>
      </c>
      <c r="P14" s="38" t="s">
        <v>43</v>
      </c>
      <c r="Q14" s="38" t="s">
        <v>44</v>
      </c>
      <c r="R14" s="38" t="s">
        <v>42</v>
      </c>
      <c r="S14" s="38" t="s">
        <v>43</v>
      </c>
      <c r="T14" s="38" t="s">
        <v>43</v>
      </c>
      <c r="U14" s="38" t="s">
        <v>43</v>
      </c>
      <c r="V14" s="38" t="str">
        <f t="shared" si="2"/>
        <v>WO</v>
      </c>
      <c r="W14" s="38" t="s">
        <v>43</v>
      </c>
      <c r="X14" s="38" t="s">
        <v>43</v>
      </c>
      <c r="Y14" s="38" t="s">
        <v>43</v>
      </c>
      <c r="Z14" s="38" t="s">
        <v>42</v>
      </c>
      <c r="AA14" s="38" t="s">
        <v>43</v>
      </c>
      <c r="AB14" s="38" t="s">
        <v>43</v>
      </c>
      <c r="AC14" s="38" t="str">
        <f t="shared" si="2"/>
        <v>WO</v>
      </c>
      <c r="AD14" s="38" t="s">
        <v>43</v>
      </c>
      <c r="AE14" s="38" t="s">
        <v>43</v>
      </c>
      <c r="AF14" s="38" t="s">
        <v>43</v>
      </c>
      <c r="AG14" s="38" t="s">
        <v>43</v>
      </c>
      <c r="AH14" s="38" t="s">
        <v>43</v>
      </c>
      <c r="AI14" s="38" t="s">
        <v>43</v>
      </c>
      <c r="AJ14" s="38" t="str">
        <f t="shared" si="2"/>
        <v>WO</v>
      </c>
      <c r="AK14" s="38" t="s">
        <v>43</v>
      </c>
      <c r="AL14" s="38" t="s">
        <v>43</v>
      </c>
      <c r="AM14" s="38" t="s">
        <v>43</v>
      </c>
      <c r="AN14" s="38" t="s">
        <v>43</v>
      </c>
      <c r="AO14" s="39" t="s">
        <v>43</v>
      </c>
      <c r="AP14" s="50"/>
      <c r="AQ14" s="53"/>
      <c r="AR14" s="19">
        <v>6</v>
      </c>
      <c r="AS14" s="19">
        <v>1006</v>
      </c>
      <c r="AT14" s="19" t="str">
        <f t="shared" si="3"/>
        <v>January</v>
      </c>
      <c r="AU14" s="19" t="s">
        <v>8</v>
      </c>
      <c r="AV14" s="27">
        <f t="shared" si="4"/>
        <v>24</v>
      </c>
      <c r="AW14" s="22">
        <f t="shared" si="5"/>
        <v>1</v>
      </c>
      <c r="AX14" s="22">
        <f t="shared" si="6"/>
        <v>2</v>
      </c>
      <c r="AY14" s="22">
        <f t="shared" si="7"/>
        <v>4</v>
      </c>
      <c r="AZ14" s="22">
        <f t="shared" si="8"/>
        <v>31</v>
      </c>
      <c r="BA14" s="22">
        <f>Jan_Month[[#This Row],[Days]]-Jan_Month[[#This Row],[Absent]]</f>
        <v>30</v>
      </c>
      <c r="BB14" s="23">
        <v>15000</v>
      </c>
      <c r="BC14" s="23">
        <f>Jan_Month[[#This Row],[Salary]]/Jan_Month[[#This Row],[Days]]</f>
        <v>483.87096774193549</v>
      </c>
      <c r="BD14" s="24">
        <f>Jan_Month[[#This Row],[PerDay Salary]]*Jan_Month[[#This Row],[Absent]]</f>
        <v>483.87096774193549</v>
      </c>
      <c r="BE14" s="23">
        <f>Jan_Month[[#This Row],[Salary]]-Jan_Month[[#This Row],[Deduction]]</f>
        <v>14516.129032258064</v>
      </c>
      <c r="BF14" s="22"/>
      <c r="BG14" s="53"/>
    </row>
    <row r="15" spans="1:59" ht="15.75" x14ac:dyDescent="0.25">
      <c r="A15" s="47"/>
      <c r="B15" s="47"/>
      <c r="C15" s="47"/>
      <c r="D15" s="48"/>
      <c r="F15" s="50"/>
      <c r="G15" s="3">
        <v>7</v>
      </c>
      <c r="H15" s="4">
        <v>1007</v>
      </c>
      <c r="I15" s="5" t="s">
        <v>9</v>
      </c>
      <c r="J15" s="37">
        <f t="shared" si="9"/>
        <v>4</v>
      </c>
      <c r="K15" s="38" t="s">
        <v>43</v>
      </c>
      <c r="L15" s="38" t="s">
        <v>43</v>
      </c>
      <c r="M15" s="38" t="s">
        <v>44</v>
      </c>
      <c r="N15" s="38" t="s">
        <v>43</v>
      </c>
      <c r="O15" s="38" t="str">
        <f t="shared" si="2"/>
        <v>WO</v>
      </c>
      <c r="P15" s="38" t="s">
        <v>43</v>
      </c>
      <c r="Q15" s="38" t="s">
        <v>43</v>
      </c>
      <c r="R15" s="38" t="s">
        <v>42</v>
      </c>
      <c r="S15" s="38" t="s">
        <v>43</v>
      </c>
      <c r="T15" s="38" t="s">
        <v>43</v>
      </c>
      <c r="U15" s="38" t="s">
        <v>43</v>
      </c>
      <c r="V15" s="38" t="str">
        <f t="shared" si="2"/>
        <v>WO</v>
      </c>
      <c r="W15" s="38" t="s">
        <v>43</v>
      </c>
      <c r="X15" s="38" t="s">
        <v>43</v>
      </c>
      <c r="Y15" s="38" t="s">
        <v>43</v>
      </c>
      <c r="Z15" s="38" t="s">
        <v>42</v>
      </c>
      <c r="AA15" s="38" t="s">
        <v>43</v>
      </c>
      <c r="AB15" s="38" t="s">
        <v>43</v>
      </c>
      <c r="AC15" s="38" t="str">
        <f t="shared" si="2"/>
        <v>WO</v>
      </c>
      <c r="AD15" s="38" t="s">
        <v>43</v>
      </c>
      <c r="AE15" s="38" t="s">
        <v>43</v>
      </c>
      <c r="AF15" s="38" t="s">
        <v>43</v>
      </c>
      <c r="AG15" s="38" t="s">
        <v>43</v>
      </c>
      <c r="AH15" s="38" t="s">
        <v>43</v>
      </c>
      <c r="AI15" s="38" t="s">
        <v>43</v>
      </c>
      <c r="AJ15" s="38" t="str">
        <f t="shared" si="2"/>
        <v>WO</v>
      </c>
      <c r="AK15" s="38" t="s">
        <v>43</v>
      </c>
      <c r="AL15" s="38" t="s">
        <v>43</v>
      </c>
      <c r="AM15" s="38" t="s">
        <v>43</v>
      </c>
      <c r="AN15" s="38" t="s">
        <v>43</v>
      </c>
      <c r="AO15" s="39" t="s">
        <v>43</v>
      </c>
      <c r="AP15" s="50"/>
      <c r="AQ15" s="53"/>
      <c r="AR15" s="19">
        <v>7</v>
      </c>
      <c r="AS15" s="19">
        <v>1007</v>
      </c>
      <c r="AT15" s="19" t="str">
        <f t="shared" si="3"/>
        <v>January</v>
      </c>
      <c r="AU15" s="19" t="s">
        <v>9</v>
      </c>
      <c r="AV15" s="27">
        <f t="shared" si="4"/>
        <v>24</v>
      </c>
      <c r="AW15" s="22">
        <f t="shared" si="5"/>
        <v>1</v>
      </c>
      <c r="AX15" s="22">
        <f t="shared" si="6"/>
        <v>2</v>
      </c>
      <c r="AY15" s="22">
        <f t="shared" si="7"/>
        <v>4</v>
      </c>
      <c r="AZ15" s="22">
        <f t="shared" si="8"/>
        <v>31</v>
      </c>
      <c r="BA15" s="22">
        <f>Jan_Month[[#This Row],[Days]]-Jan_Month[[#This Row],[Absent]]</f>
        <v>30</v>
      </c>
      <c r="BB15" s="23">
        <v>62000</v>
      </c>
      <c r="BC15" s="23">
        <f>Jan_Month[[#This Row],[Salary]]/Jan_Month[[#This Row],[Days]]</f>
        <v>2000</v>
      </c>
      <c r="BD15" s="24">
        <f>Jan_Month[[#This Row],[PerDay Salary]]*Jan_Month[[#This Row],[Absent]]</f>
        <v>2000</v>
      </c>
      <c r="BE15" s="23">
        <f>Jan_Month[[#This Row],[Salary]]-Jan_Month[[#This Row],[Deduction]]</f>
        <v>60000</v>
      </c>
      <c r="BF15" s="22"/>
      <c r="BG15" s="53"/>
    </row>
    <row r="16" spans="1:59" ht="15.75" x14ac:dyDescent="0.25">
      <c r="A16" s="47"/>
      <c r="B16" s="47"/>
      <c r="C16" s="47"/>
      <c r="D16" s="48"/>
      <c r="F16" s="50"/>
      <c r="G16" s="3">
        <v>8</v>
      </c>
      <c r="H16" s="4">
        <v>1008</v>
      </c>
      <c r="I16" s="5" t="s">
        <v>10</v>
      </c>
      <c r="J16" s="37">
        <f t="shared" si="9"/>
        <v>4</v>
      </c>
      <c r="K16" s="38" t="s">
        <v>43</v>
      </c>
      <c r="L16" s="38" t="s">
        <v>43</v>
      </c>
      <c r="M16" s="38" t="s">
        <v>43</v>
      </c>
      <c r="N16" s="38" t="s">
        <v>43</v>
      </c>
      <c r="O16" s="38" t="str">
        <f t="shared" si="2"/>
        <v>WO</v>
      </c>
      <c r="P16" s="38" t="s">
        <v>43</v>
      </c>
      <c r="Q16" s="38" t="s">
        <v>43</v>
      </c>
      <c r="R16" s="38" t="s">
        <v>42</v>
      </c>
      <c r="S16" s="38" t="s">
        <v>43</v>
      </c>
      <c r="T16" s="38" t="s">
        <v>43</v>
      </c>
      <c r="U16" s="38" t="s">
        <v>43</v>
      </c>
      <c r="V16" s="38" t="str">
        <f t="shared" si="2"/>
        <v>WO</v>
      </c>
      <c r="W16" s="38" t="s">
        <v>43</v>
      </c>
      <c r="X16" s="38" t="s">
        <v>44</v>
      </c>
      <c r="Y16" s="38" t="s">
        <v>43</v>
      </c>
      <c r="Z16" s="38" t="s">
        <v>42</v>
      </c>
      <c r="AA16" s="38" t="s">
        <v>43</v>
      </c>
      <c r="AB16" s="38" t="s">
        <v>43</v>
      </c>
      <c r="AC16" s="38" t="str">
        <f t="shared" si="2"/>
        <v>WO</v>
      </c>
      <c r="AD16" s="38" t="s">
        <v>43</v>
      </c>
      <c r="AE16" s="38" t="s">
        <v>43</v>
      </c>
      <c r="AF16" s="38" t="s">
        <v>43</v>
      </c>
      <c r="AG16" s="38" t="s">
        <v>43</v>
      </c>
      <c r="AH16" s="38" t="s">
        <v>43</v>
      </c>
      <c r="AI16" s="38" t="s">
        <v>43</v>
      </c>
      <c r="AJ16" s="38" t="str">
        <f t="shared" si="2"/>
        <v>WO</v>
      </c>
      <c r="AK16" s="38" t="s">
        <v>43</v>
      </c>
      <c r="AL16" s="38" t="s">
        <v>43</v>
      </c>
      <c r="AM16" s="38" t="s">
        <v>43</v>
      </c>
      <c r="AN16" s="38" t="s">
        <v>43</v>
      </c>
      <c r="AO16" s="39" t="s">
        <v>43</v>
      </c>
      <c r="AP16" s="50"/>
      <c r="AQ16" s="53"/>
      <c r="AR16" s="19">
        <v>8</v>
      </c>
      <c r="AS16" s="19">
        <v>1008</v>
      </c>
      <c r="AT16" s="19" t="str">
        <f t="shared" si="3"/>
        <v>January</v>
      </c>
      <c r="AU16" s="19" t="s">
        <v>10</v>
      </c>
      <c r="AV16" s="27">
        <f t="shared" si="4"/>
        <v>24</v>
      </c>
      <c r="AW16" s="22">
        <f t="shared" si="5"/>
        <v>1</v>
      </c>
      <c r="AX16" s="22">
        <f t="shared" si="6"/>
        <v>2</v>
      </c>
      <c r="AY16" s="22">
        <f t="shared" si="7"/>
        <v>4</v>
      </c>
      <c r="AZ16" s="22">
        <f t="shared" si="8"/>
        <v>31</v>
      </c>
      <c r="BA16" s="22">
        <f>Jan_Month[[#This Row],[Days]]-Jan_Month[[#This Row],[Absent]]</f>
        <v>30</v>
      </c>
      <c r="BB16" s="23">
        <v>50000</v>
      </c>
      <c r="BC16" s="23">
        <f>Jan_Month[[#This Row],[Salary]]/Jan_Month[[#This Row],[Days]]</f>
        <v>1612.9032258064517</v>
      </c>
      <c r="BD16" s="24">
        <f>Jan_Month[[#This Row],[PerDay Salary]]*Jan_Month[[#This Row],[Absent]]</f>
        <v>1612.9032258064517</v>
      </c>
      <c r="BE16" s="23">
        <f>Jan_Month[[#This Row],[Salary]]-Jan_Month[[#This Row],[Deduction]]</f>
        <v>48387.096774193546</v>
      </c>
      <c r="BF16" s="22"/>
      <c r="BG16" s="53"/>
    </row>
    <row r="17" spans="1:59" ht="15.75" x14ac:dyDescent="0.25">
      <c r="A17" s="47"/>
      <c r="B17" s="47"/>
      <c r="C17" s="47"/>
      <c r="D17" s="48"/>
      <c r="F17" s="50"/>
      <c r="G17" s="3">
        <v>9</v>
      </c>
      <c r="H17" s="4">
        <v>1009</v>
      </c>
      <c r="I17" s="5" t="s">
        <v>11</v>
      </c>
      <c r="J17" s="37">
        <f t="shared" si="9"/>
        <v>4</v>
      </c>
      <c r="K17" s="38" t="s">
        <v>43</v>
      </c>
      <c r="L17" s="38" t="s">
        <v>43</v>
      </c>
      <c r="M17" s="38" t="s">
        <v>43</v>
      </c>
      <c r="N17" s="38" t="s">
        <v>43</v>
      </c>
      <c r="O17" s="38" t="str">
        <f t="shared" si="2"/>
        <v>WO</v>
      </c>
      <c r="P17" s="38" t="s">
        <v>43</v>
      </c>
      <c r="Q17" s="38" t="s">
        <v>43</v>
      </c>
      <c r="R17" s="38" t="s">
        <v>42</v>
      </c>
      <c r="S17" s="38" t="s">
        <v>43</v>
      </c>
      <c r="T17" s="38" t="s">
        <v>43</v>
      </c>
      <c r="U17" s="38" t="s">
        <v>45</v>
      </c>
      <c r="V17" s="38" t="str">
        <f t="shared" si="2"/>
        <v>WO</v>
      </c>
      <c r="W17" s="38" t="s">
        <v>43</v>
      </c>
      <c r="X17" s="38" t="s">
        <v>43</v>
      </c>
      <c r="Y17" s="38" t="s">
        <v>43</v>
      </c>
      <c r="Z17" s="38" t="s">
        <v>42</v>
      </c>
      <c r="AA17" s="38" t="s">
        <v>43</v>
      </c>
      <c r="AB17" s="38" t="s">
        <v>44</v>
      </c>
      <c r="AC17" s="38" t="str">
        <f t="shared" ref="AC17:AJ28" si="10">IF(AC$7="Sun","WO","")</f>
        <v>WO</v>
      </c>
      <c r="AD17" s="38" t="s">
        <v>43</v>
      </c>
      <c r="AE17" s="38" t="s">
        <v>43</v>
      </c>
      <c r="AF17" s="38" t="s">
        <v>43</v>
      </c>
      <c r="AG17" s="38" t="s">
        <v>43</v>
      </c>
      <c r="AH17" s="38" t="s">
        <v>43</v>
      </c>
      <c r="AI17" s="38" t="s">
        <v>43</v>
      </c>
      <c r="AJ17" s="38" t="str">
        <f t="shared" si="10"/>
        <v>WO</v>
      </c>
      <c r="AK17" s="38" t="s">
        <v>43</v>
      </c>
      <c r="AL17" s="38" t="s">
        <v>43</v>
      </c>
      <c r="AM17" s="38" t="s">
        <v>43</v>
      </c>
      <c r="AN17" s="38" t="s">
        <v>43</v>
      </c>
      <c r="AO17" s="39" t="s">
        <v>43</v>
      </c>
      <c r="AP17" s="50"/>
      <c r="AQ17" s="53"/>
      <c r="AR17" s="19">
        <v>9</v>
      </c>
      <c r="AS17" s="19">
        <v>1009</v>
      </c>
      <c r="AT17" s="19" t="str">
        <f t="shared" si="3"/>
        <v>January</v>
      </c>
      <c r="AU17" s="19" t="s">
        <v>11</v>
      </c>
      <c r="AV17" s="27">
        <f t="shared" si="4"/>
        <v>23</v>
      </c>
      <c r="AW17" s="22">
        <f t="shared" si="5"/>
        <v>2</v>
      </c>
      <c r="AX17" s="22">
        <f t="shared" si="6"/>
        <v>2</v>
      </c>
      <c r="AY17" s="22">
        <f t="shared" si="7"/>
        <v>4</v>
      </c>
      <c r="AZ17" s="22">
        <f t="shared" si="8"/>
        <v>31</v>
      </c>
      <c r="BA17" s="22">
        <f>Jan_Month[[#This Row],[Days]]-Jan_Month[[#This Row],[Absent]]</f>
        <v>29</v>
      </c>
      <c r="BB17" s="23">
        <v>25000</v>
      </c>
      <c r="BC17" s="23">
        <f>Jan_Month[[#This Row],[Salary]]/Jan_Month[[#This Row],[Days]]</f>
        <v>806.45161290322585</v>
      </c>
      <c r="BD17" s="24">
        <f>Jan_Month[[#This Row],[PerDay Salary]]*Jan_Month[[#This Row],[Absent]]</f>
        <v>1612.9032258064517</v>
      </c>
      <c r="BE17" s="23">
        <f>Jan_Month[[#This Row],[Salary]]-Jan_Month[[#This Row],[Deduction]]</f>
        <v>23387.096774193549</v>
      </c>
      <c r="BF17" s="22"/>
      <c r="BG17" s="53"/>
    </row>
    <row r="18" spans="1:59" ht="15.75" x14ac:dyDescent="0.25">
      <c r="A18" s="47"/>
      <c r="B18" s="47"/>
      <c r="C18" s="47"/>
      <c r="D18" s="48"/>
      <c r="F18" s="50"/>
      <c r="G18" s="3">
        <v>10</v>
      </c>
      <c r="H18" s="4">
        <v>1010</v>
      </c>
      <c r="I18" s="5" t="s">
        <v>12</v>
      </c>
      <c r="J18" s="37">
        <f t="shared" si="9"/>
        <v>4</v>
      </c>
      <c r="K18" s="38" t="s">
        <v>43</v>
      </c>
      <c r="L18" s="38" t="s">
        <v>43</v>
      </c>
      <c r="M18" s="38" t="s">
        <v>43</v>
      </c>
      <c r="N18" s="38" t="s">
        <v>43</v>
      </c>
      <c r="O18" s="38" t="str">
        <f t="shared" ref="O18:V28" si="11">IF(O$7="Sun","WO","")</f>
        <v>WO</v>
      </c>
      <c r="P18" s="38" t="s">
        <v>43</v>
      </c>
      <c r="Q18" s="38" t="s">
        <v>43</v>
      </c>
      <c r="R18" s="38" t="s">
        <v>42</v>
      </c>
      <c r="S18" s="38" t="s">
        <v>43</v>
      </c>
      <c r="T18" s="38" t="s">
        <v>43</v>
      </c>
      <c r="U18" s="38" t="s">
        <v>43</v>
      </c>
      <c r="V18" s="38" t="str">
        <f t="shared" si="11"/>
        <v>WO</v>
      </c>
      <c r="W18" s="38" t="s">
        <v>43</v>
      </c>
      <c r="X18" s="38" t="s">
        <v>43</v>
      </c>
      <c r="Y18" s="38" t="s">
        <v>44</v>
      </c>
      <c r="Z18" s="38" t="s">
        <v>42</v>
      </c>
      <c r="AA18" s="38" t="s">
        <v>43</v>
      </c>
      <c r="AB18" s="38" t="s">
        <v>43</v>
      </c>
      <c r="AC18" s="38" t="str">
        <f t="shared" si="10"/>
        <v>WO</v>
      </c>
      <c r="AD18" s="38" t="s">
        <v>43</v>
      </c>
      <c r="AE18" s="38" t="s">
        <v>43</v>
      </c>
      <c r="AF18" s="38" t="s">
        <v>43</v>
      </c>
      <c r="AG18" s="38" t="s">
        <v>43</v>
      </c>
      <c r="AH18" s="38" t="s">
        <v>43</v>
      </c>
      <c r="AI18" s="38" t="s">
        <v>43</v>
      </c>
      <c r="AJ18" s="38" t="str">
        <f t="shared" si="10"/>
        <v>WO</v>
      </c>
      <c r="AK18" s="38" t="s">
        <v>43</v>
      </c>
      <c r="AL18" s="38" t="s">
        <v>43</v>
      </c>
      <c r="AM18" s="38" t="s">
        <v>43</v>
      </c>
      <c r="AN18" s="38" t="s">
        <v>43</v>
      </c>
      <c r="AO18" s="39" t="s">
        <v>43</v>
      </c>
      <c r="AP18" s="50"/>
      <c r="AQ18" s="53"/>
      <c r="AR18" s="19">
        <v>10</v>
      </c>
      <c r="AS18" s="19">
        <v>1010</v>
      </c>
      <c r="AT18" s="19" t="str">
        <f t="shared" si="3"/>
        <v>January</v>
      </c>
      <c r="AU18" s="19" t="s">
        <v>12</v>
      </c>
      <c r="AV18" s="27">
        <f t="shared" si="4"/>
        <v>24</v>
      </c>
      <c r="AW18" s="22">
        <f t="shared" si="5"/>
        <v>1</v>
      </c>
      <c r="AX18" s="22">
        <f t="shared" si="6"/>
        <v>2</v>
      </c>
      <c r="AY18" s="22">
        <f t="shared" si="7"/>
        <v>4</v>
      </c>
      <c r="AZ18" s="22">
        <f t="shared" si="8"/>
        <v>31</v>
      </c>
      <c r="BA18" s="22">
        <f>Jan_Month[[#This Row],[Days]]-Jan_Month[[#This Row],[Absent]]</f>
        <v>30</v>
      </c>
      <c r="BB18" s="23">
        <v>45000</v>
      </c>
      <c r="BC18" s="23">
        <f>Jan_Month[[#This Row],[Salary]]/Jan_Month[[#This Row],[Days]]</f>
        <v>1451.6129032258063</v>
      </c>
      <c r="BD18" s="24">
        <f>Jan_Month[[#This Row],[PerDay Salary]]*Jan_Month[[#This Row],[Absent]]</f>
        <v>1451.6129032258063</v>
      </c>
      <c r="BE18" s="23">
        <f>Jan_Month[[#This Row],[Salary]]-Jan_Month[[#This Row],[Deduction]]</f>
        <v>43548.387096774197</v>
      </c>
      <c r="BF18" s="22"/>
      <c r="BG18" s="53"/>
    </row>
    <row r="19" spans="1:59" ht="15.75" x14ac:dyDescent="0.25">
      <c r="A19" s="47"/>
      <c r="B19" s="47"/>
      <c r="C19" s="47"/>
      <c r="D19" s="48"/>
      <c r="F19" s="50"/>
      <c r="G19" s="3">
        <v>11</v>
      </c>
      <c r="H19" s="4">
        <v>1011</v>
      </c>
      <c r="I19" s="5" t="s">
        <v>13</v>
      </c>
      <c r="J19" s="37">
        <f t="shared" si="9"/>
        <v>4</v>
      </c>
      <c r="K19" s="38" t="s">
        <v>43</v>
      </c>
      <c r="L19" s="38" t="s">
        <v>43</v>
      </c>
      <c r="M19" s="38" t="s">
        <v>43</v>
      </c>
      <c r="N19" s="38" t="s">
        <v>43</v>
      </c>
      <c r="O19" s="38" t="str">
        <f t="shared" si="11"/>
        <v>WO</v>
      </c>
      <c r="P19" s="38" t="s">
        <v>43</v>
      </c>
      <c r="Q19" s="38" t="s">
        <v>43</v>
      </c>
      <c r="R19" s="38" t="s">
        <v>42</v>
      </c>
      <c r="S19" s="38" t="s">
        <v>43</v>
      </c>
      <c r="T19" s="38" t="s">
        <v>43</v>
      </c>
      <c r="U19" s="38" t="s">
        <v>43</v>
      </c>
      <c r="V19" s="38" t="str">
        <f t="shared" si="11"/>
        <v>WO</v>
      </c>
      <c r="W19" s="38" t="s">
        <v>43</v>
      </c>
      <c r="X19" s="38" t="s">
        <v>43</v>
      </c>
      <c r="Y19" s="38" t="s">
        <v>43</v>
      </c>
      <c r="Z19" s="38" t="s">
        <v>42</v>
      </c>
      <c r="AA19" s="38" t="s">
        <v>43</v>
      </c>
      <c r="AB19" s="38" t="s">
        <v>43</v>
      </c>
      <c r="AC19" s="38" t="str">
        <f t="shared" si="10"/>
        <v>WO</v>
      </c>
      <c r="AD19" s="38" t="s">
        <v>43</v>
      </c>
      <c r="AE19" s="38" t="s">
        <v>43</v>
      </c>
      <c r="AF19" s="38" t="s">
        <v>44</v>
      </c>
      <c r="AG19" s="38" t="s">
        <v>43</v>
      </c>
      <c r="AH19" s="38" t="s">
        <v>43</v>
      </c>
      <c r="AI19" s="38" t="s">
        <v>43</v>
      </c>
      <c r="AJ19" s="38" t="str">
        <f t="shared" si="10"/>
        <v>WO</v>
      </c>
      <c r="AK19" s="38" t="s">
        <v>43</v>
      </c>
      <c r="AL19" s="38" t="s">
        <v>43</v>
      </c>
      <c r="AM19" s="38" t="s">
        <v>43</v>
      </c>
      <c r="AN19" s="38" t="s">
        <v>43</v>
      </c>
      <c r="AO19" s="39" t="s">
        <v>43</v>
      </c>
      <c r="AP19" s="50"/>
      <c r="AQ19" s="53"/>
      <c r="AR19" s="19">
        <v>11</v>
      </c>
      <c r="AS19" s="19">
        <v>1011</v>
      </c>
      <c r="AT19" s="19" t="str">
        <f t="shared" si="3"/>
        <v>January</v>
      </c>
      <c r="AU19" s="19" t="s">
        <v>13</v>
      </c>
      <c r="AV19" s="27">
        <f t="shared" si="4"/>
        <v>24</v>
      </c>
      <c r="AW19" s="22">
        <f t="shared" si="5"/>
        <v>1</v>
      </c>
      <c r="AX19" s="22">
        <f t="shared" si="6"/>
        <v>2</v>
      </c>
      <c r="AY19" s="22">
        <f t="shared" si="7"/>
        <v>4</v>
      </c>
      <c r="AZ19" s="22">
        <f t="shared" si="8"/>
        <v>31</v>
      </c>
      <c r="BA19" s="22">
        <f>Jan_Month[[#This Row],[Days]]-Jan_Month[[#This Row],[Absent]]</f>
        <v>30</v>
      </c>
      <c r="BB19" s="23">
        <v>48000</v>
      </c>
      <c r="BC19" s="23">
        <f>Jan_Month[[#This Row],[Salary]]/Jan_Month[[#This Row],[Days]]</f>
        <v>1548.3870967741937</v>
      </c>
      <c r="BD19" s="24">
        <f>Jan_Month[[#This Row],[PerDay Salary]]*Jan_Month[[#This Row],[Absent]]</f>
        <v>1548.3870967741937</v>
      </c>
      <c r="BE19" s="23">
        <f>Jan_Month[[#This Row],[Salary]]-Jan_Month[[#This Row],[Deduction]]</f>
        <v>46451.612903225803</v>
      </c>
      <c r="BF19" s="22"/>
      <c r="BG19" s="53"/>
    </row>
    <row r="20" spans="1:59" ht="15.75" x14ac:dyDescent="0.25">
      <c r="A20" s="47"/>
      <c r="B20" s="47"/>
      <c r="C20" s="47"/>
      <c r="D20" s="48"/>
      <c r="F20" s="50"/>
      <c r="G20" s="3">
        <v>12</v>
      </c>
      <c r="H20" s="4">
        <v>1012</v>
      </c>
      <c r="I20" s="5" t="s">
        <v>14</v>
      </c>
      <c r="J20" s="37">
        <f t="shared" si="9"/>
        <v>4</v>
      </c>
      <c r="K20" s="38" t="s">
        <v>43</v>
      </c>
      <c r="L20" s="38" t="s">
        <v>43</v>
      </c>
      <c r="M20" s="38" t="s">
        <v>43</v>
      </c>
      <c r="N20" s="38" t="s">
        <v>44</v>
      </c>
      <c r="O20" s="38" t="str">
        <f t="shared" si="11"/>
        <v>WO</v>
      </c>
      <c r="P20" s="38" t="s">
        <v>43</v>
      </c>
      <c r="Q20" s="38" t="s">
        <v>43</v>
      </c>
      <c r="R20" s="38" t="s">
        <v>42</v>
      </c>
      <c r="S20" s="38" t="s">
        <v>43</v>
      </c>
      <c r="T20" s="38" t="s">
        <v>43</v>
      </c>
      <c r="U20" s="38" t="s">
        <v>43</v>
      </c>
      <c r="V20" s="38" t="str">
        <f t="shared" si="11"/>
        <v>WO</v>
      </c>
      <c r="W20" s="38" t="s">
        <v>43</v>
      </c>
      <c r="X20" s="38" t="s">
        <v>43</v>
      </c>
      <c r="Y20" s="38" t="s">
        <v>43</v>
      </c>
      <c r="Z20" s="38" t="s">
        <v>42</v>
      </c>
      <c r="AA20" s="38" t="s">
        <v>43</v>
      </c>
      <c r="AB20" s="38" t="s">
        <v>43</v>
      </c>
      <c r="AC20" s="38" t="str">
        <f t="shared" si="10"/>
        <v>WO</v>
      </c>
      <c r="AD20" s="38" t="s">
        <v>43</v>
      </c>
      <c r="AE20" s="38" t="s">
        <v>43</v>
      </c>
      <c r="AF20" s="38" t="s">
        <v>43</v>
      </c>
      <c r="AG20" s="38" t="s">
        <v>43</v>
      </c>
      <c r="AH20" s="38" t="s">
        <v>43</v>
      </c>
      <c r="AI20" s="38" t="s">
        <v>43</v>
      </c>
      <c r="AJ20" s="38" t="str">
        <f t="shared" si="10"/>
        <v>WO</v>
      </c>
      <c r="AK20" s="38" t="s">
        <v>43</v>
      </c>
      <c r="AL20" s="38" t="s">
        <v>43</v>
      </c>
      <c r="AM20" s="38" t="s">
        <v>43</v>
      </c>
      <c r="AN20" s="38" t="s">
        <v>43</v>
      </c>
      <c r="AO20" s="39" t="s">
        <v>43</v>
      </c>
      <c r="AP20" s="50"/>
      <c r="AQ20" s="53"/>
      <c r="AR20" s="19">
        <v>12</v>
      </c>
      <c r="AS20" s="19">
        <v>1012</v>
      </c>
      <c r="AT20" s="19" t="str">
        <f t="shared" si="3"/>
        <v>January</v>
      </c>
      <c r="AU20" s="19" t="s">
        <v>14</v>
      </c>
      <c r="AV20" s="27">
        <f t="shared" si="4"/>
        <v>24</v>
      </c>
      <c r="AW20" s="22">
        <f t="shared" si="5"/>
        <v>1</v>
      </c>
      <c r="AX20" s="22">
        <f t="shared" si="6"/>
        <v>2</v>
      </c>
      <c r="AY20" s="22">
        <f t="shared" si="7"/>
        <v>4</v>
      </c>
      <c r="AZ20" s="22">
        <f t="shared" si="8"/>
        <v>31</v>
      </c>
      <c r="BA20" s="22">
        <f>Jan_Month[[#This Row],[Days]]-Jan_Month[[#This Row],[Absent]]</f>
        <v>30</v>
      </c>
      <c r="BB20" s="23">
        <v>52000</v>
      </c>
      <c r="BC20" s="23">
        <f>Jan_Month[[#This Row],[Salary]]/Jan_Month[[#This Row],[Days]]</f>
        <v>1677.4193548387098</v>
      </c>
      <c r="BD20" s="24">
        <f>Jan_Month[[#This Row],[PerDay Salary]]*Jan_Month[[#This Row],[Absent]]</f>
        <v>1677.4193548387098</v>
      </c>
      <c r="BE20" s="23">
        <f>Jan_Month[[#This Row],[Salary]]-Jan_Month[[#This Row],[Deduction]]</f>
        <v>50322.580645161288</v>
      </c>
      <c r="BF20" s="22"/>
      <c r="BG20" s="53"/>
    </row>
    <row r="21" spans="1:59" ht="15.75" x14ac:dyDescent="0.25">
      <c r="A21" s="47"/>
      <c r="B21" s="47"/>
      <c r="C21" s="47"/>
      <c r="D21" s="48"/>
      <c r="F21" s="50"/>
      <c r="G21" s="3">
        <v>13</v>
      </c>
      <c r="H21" s="4">
        <v>1013</v>
      </c>
      <c r="I21" s="5" t="s">
        <v>15</v>
      </c>
      <c r="J21" s="37">
        <f t="shared" si="9"/>
        <v>4</v>
      </c>
      <c r="K21" s="38" t="s">
        <v>43</v>
      </c>
      <c r="L21" s="38" t="s">
        <v>43</v>
      </c>
      <c r="M21" s="38" t="s">
        <v>43</v>
      </c>
      <c r="N21" s="38" t="s">
        <v>43</v>
      </c>
      <c r="O21" s="38" t="str">
        <f t="shared" si="11"/>
        <v>WO</v>
      </c>
      <c r="P21" s="38" t="s">
        <v>43</v>
      </c>
      <c r="Q21" s="38" t="s">
        <v>43</v>
      </c>
      <c r="R21" s="38" t="s">
        <v>42</v>
      </c>
      <c r="S21" s="38" t="s">
        <v>43</v>
      </c>
      <c r="T21" s="38" t="s">
        <v>43</v>
      </c>
      <c r="U21" s="38" t="s">
        <v>43</v>
      </c>
      <c r="V21" s="38" t="str">
        <f t="shared" si="11"/>
        <v>WO</v>
      </c>
      <c r="W21" s="38" t="s">
        <v>43</v>
      </c>
      <c r="X21" s="38" t="s">
        <v>43</v>
      </c>
      <c r="Y21" s="38" t="s">
        <v>43</v>
      </c>
      <c r="Z21" s="38" t="s">
        <v>42</v>
      </c>
      <c r="AA21" s="38" t="s">
        <v>43</v>
      </c>
      <c r="AB21" s="38" t="s">
        <v>43</v>
      </c>
      <c r="AC21" s="38" t="str">
        <f t="shared" si="10"/>
        <v>WO</v>
      </c>
      <c r="AD21" s="38" t="s">
        <v>43</v>
      </c>
      <c r="AE21" s="38" t="s">
        <v>43</v>
      </c>
      <c r="AF21" s="38" t="s">
        <v>43</v>
      </c>
      <c r="AG21" s="38" t="s">
        <v>44</v>
      </c>
      <c r="AH21" s="38" t="s">
        <v>43</v>
      </c>
      <c r="AI21" s="38" t="s">
        <v>43</v>
      </c>
      <c r="AJ21" s="38" t="str">
        <f t="shared" si="10"/>
        <v>WO</v>
      </c>
      <c r="AK21" s="38" t="s">
        <v>43</v>
      </c>
      <c r="AL21" s="38" t="s">
        <v>43</v>
      </c>
      <c r="AM21" s="38" t="s">
        <v>43</v>
      </c>
      <c r="AN21" s="38" t="s">
        <v>43</v>
      </c>
      <c r="AO21" s="39" t="s">
        <v>43</v>
      </c>
      <c r="AP21" s="50"/>
      <c r="AQ21" s="53"/>
      <c r="AR21" s="19">
        <v>13</v>
      </c>
      <c r="AS21" s="19">
        <v>1013</v>
      </c>
      <c r="AT21" s="19" t="str">
        <f t="shared" si="3"/>
        <v>January</v>
      </c>
      <c r="AU21" s="19" t="s">
        <v>15</v>
      </c>
      <c r="AV21" s="27">
        <f t="shared" si="4"/>
        <v>24</v>
      </c>
      <c r="AW21" s="22">
        <f t="shared" si="5"/>
        <v>1</v>
      </c>
      <c r="AX21" s="22">
        <f t="shared" si="6"/>
        <v>2</v>
      </c>
      <c r="AY21" s="22">
        <f t="shared" si="7"/>
        <v>4</v>
      </c>
      <c r="AZ21" s="22">
        <f t="shared" si="8"/>
        <v>31</v>
      </c>
      <c r="BA21" s="22">
        <f>Jan_Month[[#This Row],[Days]]-Jan_Month[[#This Row],[Absent]]</f>
        <v>30</v>
      </c>
      <c r="BB21" s="23">
        <v>42000</v>
      </c>
      <c r="BC21" s="23">
        <f>Jan_Month[[#This Row],[Salary]]/Jan_Month[[#This Row],[Days]]</f>
        <v>1354.8387096774193</v>
      </c>
      <c r="BD21" s="24">
        <f>Jan_Month[[#This Row],[PerDay Salary]]*Jan_Month[[#This Row],[Absent]]</f>
        <v>1354.8387096774193</v>
      </c>
      <c r="BE21" s="23">
        <f>Jan_Month[[#This Row],[Salary]]-Jan_Month[[#This Row],[Deduction]]</f>
        <v>40645.161290322583</v>
      </c>
      <c r="BF21" s="22"/>
      <c r="BG21" s="53"/>
    </row>
    <row r="22" spans="1:59" ht="15.75" x14ac:dyDescent="0.25">
      <c r="A22" s="47"/>
      <c r="B22" s="47"/>
      <c r="C22" s="47"/>
      <c r="D22" s="48"/>
      <c r="F22" s="50"/>
      <c r="G22" s="3">
        <v>14</v>
      </c>
      <c r="H22" s="4">
        <v>1014</v>
      </c>
      <c r="I22" s="5" t="s">
        <v>16</v>
      </c>
      <c r="J22" s="37">
        <f t="shared" si="9"/>
        <v>4</v>
      </c>
      <c r="K22" s="38" t="s">
        <v>43</v>
      </c>
      <c r="L22" s="38" t="s">
        <v>43</v>
      </c>
      <c r="M22" s="38" t="s">
        <v>43</v>
      </c>
      <c r="N22" s="38" t="s">
        <v>43</v>
      </c>
      <c r="O22" s="38" t="str">
        <f t="shared" si="11"/>
        <v>WO</v>
      </c>
      <c r="P22" s="38" t="s">
        <v>43</v>
      </c>
      <c r="Q22" s="38" t="s">
        <v>43</v>
      </c>
      <c r="R22" s="38" t="s">
        <v>42</v>
      </c>
      <c r="S22" s="38" t="s">
        <v>43</v>
      </c>
      <c r="T22" s="38" t="s">
        <v>43</v>
      </c>
      <c r="U22" s="38" t="s">
        <v>43</v>
      </c>
      <c r="V22" s="38" t="str">
        <f t="shared" si="11"/>
        <v>WO</v>
      </c>
      <c r="W22" s="38" t="s">
        <v>43</v>
      </c>
      <c r="X22" s="38" t="s">
        <v>43</v>
      </c>
      <c r="Y22" s="38" t="s">
        <v>43</v>
      </c>
      <c r="Z22" s="38" t="s">
        <v>42</v>
      </c>
      <c r="AA22" s="38" t="s">
        <v>43</v>
      </c>
      <c r="AB22" s="38" t="s">
        <v>43</v>
      </c>
      <c r="AC22" s="38" t="str">
        <f t="shared" si="10"/>
        <v>WO</v>
      </c>
      <c r="AD22" s="38" t="s">
        <v>43</v>
      </c>
      <c r="AE22" s="38" t="s">
        <v>43</v>
      </c>
      <c r="AF22" s="38" t="s">
        <v>43</v>
      </c>
      <c r="AG22" s="38" t="s">
        <v>43</v>
      </c>
      <c r="AH22" s="38" t="s">
        <v>43</v>
      </c>
      <c r="AI22" s="38" t="s">
        <v>43</v>
      </c>
      <c r="AJ22" s="38" t="str">
        <f t="shared" si="10"/>
        <v>WO</v>
      </c>
      <c r="AK22" s="38" t="s">
        <v>43</v>
      </c>
      <c r="AL22" s="38" t="s">
        <v>43</v>
      </c>
      <c r="AM22" s="38" t="s">
        <v>43</v>
      </c>
      <c r="AN22" s="38" t="s">
        <v>44</v>
      </c>
      <c r="AO22" s="39" t="s">
        <v>43</v>
      </c>
      <c r="AP22" s="50"/>
      <c r="AQ22" s="53"/>
      <c r="AR22" s="19">
        <v>14</v>
      </c>
      <c r="AS22" s="19">
        <v>1014</v>
      </c>
      <c r="AT22" s="19" t="str">
        <f t="shared" si="3"/>
        <v>January</v>
      </c>
      <c r="AU22" s="19" t="s">
        <v>16</v>
      </c>
      <c r="AV22" s="27">
        <f t="shared" si="4"/>
        <v>24</v>
      </c>
      <c r="AW22" s="22">
        <f t="shared" si="5"/>
        <v>1</v>
      </c>
      <c r="AX22" s="22">
        <f t="shared" si="6"/>
        <v>2</v>
      </c>
      <c r="AY22" s="22">
        <f t="shared" si="7"/>
        <v>4</v>
      </c>
      <c r="AZ22" s="22">
        <f t="shared" si="8"/>
        <v>31</v>
      </c>
      <c r="BA22" s="22">
        <f>Jan_Month[[#This Row],[Days]]-Jan_Month[[#This Row],[Absent]]</f>
        <v>30</v>
      </c>
      <c r="BB22" s="23">
        <v>15000</v>
      </c>
      <c r="BC22" s="23">
        <f>Jan_Month[[#This Row],[Salary]]/Jan_Month[[#This Row],[Days]]</f>
        <v>483.87096774193549</v>
      </c>
      <c r="BD22" s="24">
        <f>Jan_Month[[#This Row],[PerDay Salary]]*Jan_Month[[#This Row],[Absent]]</f>
        <v>483.87096774193549</v>
      </c>
      <c r="BE22" s="23">
        <f>Jan_Month[[#This Row],[Salary]]-Jan_Month[[#This Row],[Deduction]]</f>
        <v>14516.129032258064</v>
      </c>
      <c r="BF22" s="22"/>
      <c r="BG22" s="53"/>
    </row>
    <row r="23" spans="1:59" ht="15.75" x14ac:dyDescent="0.25">
      <c r="A23" s="47"/>
      <c r="B23" s="47"/>
      <c r="C23" s="47"/>
      <c r="D23" s="48"/>
      <c r="F23" s="50"/>
      <c r="G23" s="3">
        <v>15</v>
      </c>
      <c r="H23" s="4">
        <v>1015</v>
      </c>
      <c r="I23" s="5" t="s">
        <v>17</v>
      </c>
      <c r="J23" s="37">
        <f t="shared" si="9"/>
        <v>4</v>
      </c>
      <c r="K23" s="38" t="s">
        <v>43</v>
      </c>
      <c r="L23" s="38" t="s">
        <v>43</v>
      </c>
      <c r="M23" s="38" t="s">
        <v>43</v>
      </c>
      <c r="N23" s="38" t="s">
        <v>43</v>
      </c>
      <c r="O23" s="38" t="str">
        <f t="shared" si="11"/>
        <v>WO</v>
      </c>
      <c r="P23" s="38" t="s">
        <v>43</v>
      </c>
      <c r="Q23" s="38" t="s">
        <v>43</v>
      </c>
      <c r="R23" s="38" t="s">
        <v>42</v>
      </c>
      <c r="S23" s="38" t="s">
        <v>43</v>
      </c>
      <c r="T23" s="38" t="s">
        <v>43</v>
      </c>
      <c r="U23" s="38" t="s">
        <v>43</v>
      </c>
      <c r="V23" s="38" t="str">
        <f>IF(V$7="Sun","WO","")</f>
        <v>WO</v>
      </c>
      <c r="W23" s="38" t="s">
        <v>43</v>
      </c>
      <c r="X23" s="38" t="s">
        <v>43</v>
      </c>
      <c r="Y23" s="38" t="s">
        <v>43</v>
      </c>
      <c r="Z23" s="38" t="s">
        <v>42</v>
      </c>
      <c r="AA23" s="38" t="s">
        <v>43</v>
      </c>
      <c r="AB23" s="38" t="s">
        <v>43</v>
      </c>
      <c r="AC23" s="38" t="str">
        <f t="shared" si="10"/>
        <v>WO</v>
      </c>
      <c r="AD23" s="38" t="s">
        <v>44</v>
      </c>
      <c r="AE23" s="38" t="s">
        <v>43</v>
      </c>
      <c r="AF23" s="38" t="s">
        <v>43</v>
      </c>
      <c r="AG23" s="38" t="s">
        <v>43</v>
      </c>
      <c r="AH23" s="38" t="s">
        <v>43</v>
      </c>
      <c r="AI23" s="38" t="s">
        <v>43</v>
      </c>
      <c r="AJ23" s="38" t="str">
        <f t="shared" si="10"/>
        <v>WO</v>
      </c>
      <c r="AK23" s="38" t="s">
        <v>43</v>
      </c>
      <c r="AL23" s="38" t="s">
        <v>43</v>
      </c>
      <c r="AM23" s="38" t="s">
        <v>43</v>
      </c>
      <c r="AN23" s="38" t="s">
        <v>43</v>
      </c>
      <c r="AO23" s="39" t="s">
        <v>43</v>
      </c>
      <c r="AP23" s="50"/>
      <c r="AQ23" s="53"/>
      <c r="AR23" s="19">
        <v>15</v>
      </c>
      <c r="AS23" s="19">
        <v>1015</v>
      </c>
      <c r="AT23" s="19" t="str">
        <f t="shared" si="3"/>
        <v>January</v>
      </c>
      <c r="AU23" s="19" t="s">
        <v>17</v>
      </c>
      <c r="AV23" s="27">
        <f t="shared" si="4"/>
        <v>24</v>
      </c>
      <c r="AW23" s="22">
        <f t="shared" si="5"/>
        <v>1</v>
      </c>
      <c r="AX23" s="22">
        <f t="shared" si="6"/>
        <v>2</v>
      </c>
      <c r="AY23" s="22">
        <f t="shared" si="7"/>
        <v>4</v>
      </c>
      <c r="AZ23" s="22">
        <f t="shared" si="8"/>
        <v>31</v>
      </c>
      <c r="BA23" s="22">
        <f>Jan_Month[[#This Row],[Days]]-Jan_Month[[#This Row],[Absent]]</f>
        <v>30</v>
      </c>
      <c r="BB23" s="23">
        <v>46000</v>
      </c>
      <c r="BC23" s="23">
        <f>Jan_Month[[#This Row],[Salary]]/Jan_Month[[#This Row],[Days]]</f>
        <v>1483.8709677419354</v>
      </c>
      <c r="BD23" s="24">
        <f>Jan_Month[[#This Row],[PerDay Salary]]*Jan_Month[[#This Row],[Absent]]</f>
        <v>1483.8709677419354</v>
      </c>
      <c r="BE23" s="23">
        <f>Jan_Month[[#This Row],[Salary]]-Jan_Month[[#This Row],[Deduction]]</f>
        <v>44516.129032258068</v>
      </c>
      <c r="BF23" s="22"/>
      <c r="BG23" s="53"/>
    </row>
    <row r="24" spans="1:59" ht="15.75" x14ac:dyDescent="0.25">
      <c r="A24" s="47"/>
      <c r="B24" s="47"/>
      <c r="C24" s="47"/>
      <c r="D24" s="48"/>
      <c r="F24" s="50"/>
      <c r="G24" s="3">
        <v>16</v>
      </c>
      <c r="H24" s="4">
        <v>1016</v>
      </c>
      <c r="I24" s="5" t="s">
        <v>18</v>
      </c>
      <c r="J24" s="37">
        <f t="shared" si="9"/>
        <v>4</v>
      </c>
      <c r="K24" s="38" t="s">
        <v>44</v>
      </c>
      <c r="L24" s="38" t="s">
        <v>43</v>
      </c>
      <c r="M24" s="38" t="s">
        <v>43</v>
      </c>
      <c r="N24" s="38" t="s">
        <v>43</v>
      </c>
      <c r="O24" s="38" t="str">
        <f t="shared" si="11"/>
        <v>WO</v>
      </c>
      <c r="P24" s="38" t="s">
        <v>43</v>
      </c>
      <c r="Q24" s="38" t="s">
        <v>43</v>
      </c>
      <c r="R24" s="38" t="s">
        <v>42</v>
      </c>
      <c r="S24" s="38" t="s">
        <v>43</v>
      </c>
      <c r="T24" s="38" t="s">
        <v>43</v>
      </c>
      <c r="U24" s="38" t="s">
        <v>43</v>
      </c>
      <c r="V24" s="38" t="str">
        <f t="shared" si="11"/>
        <v>WO</v>
      </c>
      <c r="W24" s="38" t="s">
        <v>43</v>
      </c>
      <c r="X24" s="38" t="s">
        <v>43</v>
      </c>
      <c r="Y24" s="38" t="s">
        <v>43</v>
      </c>
      <c r="Z24" s="38" t="s">
        <v>42</v>
      </c>
      <c r="AA24" s="38" t="s">
        <v>43</v>
      </c>
      <c r="AB24" s="38" t="s">
        <v>43</v>
      </c>
      <c r="AC24" s="38" t="str">
        <f t="shared" si="10"/>
        <v>WO</v>
      </c>
      <c r="AD24" s="38" t="s">
        <v>43</v>
      </c>
      <c r="AE24" s="38" t="s">
        <v>43</v>
      </c>
      <c r="AF24" s="38" t="s">
        <v>43</v>
      </c>
      <c r="AG24" s="38" t="s">
        <v>43</v>
      </c>
      <c r="AH24" s="38" t="s">
        <v>43</v>
      </c>
      <c r="AI24" s="38" t="s">
        <v>43</v>
      </c>
      <c r="AJ24" s="38" t="str">
        <f t="shared" si="10"/>
        <v>WO</v>
      </c>
      <c r="AK24" s="38" t="s">
        <v>43</v>
      </c>
      <c r="AL24" s="38" t="s">
        <v>43</v>
      </c>
      <c r="AM24" s="38" t="s">
        <v>43</v>
      </c>
      <c r="AN24" s="38" t="s">
        <v>43</v>
      </c>
      <c r="AO24" s="39" t="s">
        <v>43</v>
      </c>
      <c r="AP24" s="50"/>
      <c r="AQ24" s="53"/>
      <c r="AR24" s="19">
        <v>16</v>
      </c>
      <c r="AS24" s="19">
        <v>1016</v>
      </c>
      <c r="AT24" s="19" t="str">
        <f t="shared" si="3"/>
        <v>January</v>
      </c>
      <c r="AU24" s="19" t="s">
        <v>18</v>
      </c>
      <c r="AV24" s="27">
        <f t="shared" si="4"/>
        <v>24</v>
      </c>
      <c r="AW24" s="22">
        <f t="shared" si="5"/>
        <v>1</v>
      </c>
      <c r="AX24" s="22">
        <f t="shared" si="6"/>
        <v>2</v>
      </c>
      <c r="AY24" s="22">
        <f t="shared" si="7"/>
        <v>4</v>
      </c>
      <c r="AZ24" s="22">
        <f t="shared" si="8"/>
        <v>31</v>
      </c>
      <c r="BA24" s="22">
        <f>Jan_Month[[#This Row],[Days]]-Jan_Month[[#This Row],[Absent]]</f>
        <v>30</v>
      </c>
      <c r="BB24" s="23">
        <v>52000</v>
      </c>
      <c r="BC24" s="23">
        <f>Jan_Month[[#This Row],[Salary]]/Jan_Month[[#This Row],[Days]]</f>
        <v>1677.4193548387098</v>
      </c>
      <c r="BD24" s="24">
        <f>Jan_Month[[#This Row],[PerDay Salary]]*Jan_Month[[#This Row],[Absent]]</f>
        <v>1677.4193548387098</v>
      </c>
      <c r="BE24" s="23">
        <f>Jan_Month[[#This Row],[Salary]]-Jan_Month[[#This Row],[Deduction]]</f>
        <v>50322.580645161288</v>
      </c>
      <c r="BF24" s="22"/>
      <c r="BG24" s="53"/>
    </row>
    <row r="25" spans="1:59" ht="15.75" x14ac:dyDescent="0.25">
      <c r="A25" s="47"/>
      <c r="B25" s="47"/>
      <c r="C25" s="47"/>
      <c r="D25" s="48"/>
      <c r="F25" s="50"/>
      <c r="G25" s="3">
        <v>17</v>
      </c>
      <c r="H25" s="4">
        <v>1017</v>
      </c>
      <c r="I25" s="5" t="s">
        <v>19</v>
      </c>
      <c r="J25" s="37">
        <f t="shared" si="9"/>
        <v>4</v>
      </c>
      <c r="K25" s="38" t="s">
        <v>43</v>
      </c>
      <c r="L25" s="38" t="s">
        <v>43</v>
      </c>
      <c r="M25" s="38" t="s">
        <v>43</v>
      </c>
      <c r="N25" s="38" t="s">
        <v>43</v>
      </c>
      <c r="O25" s="38" t="str">
        <f t="shared" si="11"/>
        <v>WO</v>
      </c>
      <c r="P25" s="38" t="s">
        <v>43</v>
      </c>
      <c r="Q25" s="38" t="s">
        <v>43</v>
      </c>
      <c r="R25" s="38" t="s">
        <v>42</v>
      </c>
      <c r="S25" s="38" t="s">
        <v>43</v>
      </c>
      <c r="T25" s="38" t="s">
        <v>45</v>
      </c>
      <c r="U25" s="38" t="s">
        <v>43</v>
      </c>
      <c r="V25" s="38" t="str">
        <f t="shared" si="11"/>
        <v>WO</v>
      </c>
      <c r="W25" s="38" t="s">
        <v>43</v>
      </c>
      <c r="X25" s="38" t="s">
        <v>43</v>
      </c>
      <c r="Y25" s="38" t="s">
        <v>43</v>
      </c>
      <c r="Z25" s="38" t="s">
        <v>42</v>
      </c>
      <c r="AA25" s="38" t="s">
        <v>43</v>
      </c>
      <c r="AB25" s="38" t="s">
        <v>43</v>
      </c>
      <c r="AC25" s="38" t="str">
        <f t="shared" si="10"/>
        <v>WO</v>
      </c>
      <c r="AD25" s="38" t="s">
        <v>43</v>
      </c>
      <c r="AE25" s="38" t="s">
        <v>43</v>
      </c>
      <c r="AF25" s="38" t="s">
        <v>43</v>
      </c>
      <c r="AG25" s="38" t="s">
        <v>43</v>
      </c>
      <c r="AH25" s="38" t="s">
        <v>43</v>
      </c>
      <c r="AI25" s="38" t="s">
        <v>43</v>
      </c>
      <c r="AJ25" s="38" t="str">
        <f t="shared" si="10"/>
        <v>WO</v>
      </c>
      <c r="AK25" s="38" t="s">
        <v>43</v>
      </c>
      <c r="AL25" s="38" t="s">
        <v>43</v>
      </c>
      <c r="AM25" s="38" t="s">
        <v>43</v>
      </c>
      <c r="AN25" s="38" t="s">
        <v>43</v>
      </c>
      <c r="AO25" s="39" t="s">
        <v>43</v>
      </c>
      <c r="AP25" s="50"/>
      <c r="AQ25" s="53"/>
      <c r="AR25" s="19">
        <v>17</v>
      </c>
      <c r="AS25" s="19">
        <v>1017</v>
      </c>
      <c r="AT25" s="19" t="str">
        <f t="shared" si="3"/>
        <v>January</v>
      </c>
      <c r="AU25" s="19" t="s">
        <v>19</v>
      </c>
      <c r="AV25" s="27">
        <f t="shared" si="4"/>
        <v>24</v>
      </c>
      <c r="AW25" s="22">
        <f t="shared" si="5"/>
        <v>1</v>
      </c>
      <c r="AX25" s="22">
        <f t="shared" si="6"/>
        <v>2</v>
      </c>
      <c r="AY25" s="22">
        <f t="shared" si="7"/>
        <v>4</v>
      </c>
      <c r="AZ25" s="22">
        <f t="shared" si="8"/>
        <v>31</v>
      </c>
      <c r="BA25" s="22">
        <f>Jan_Month[[#This Row],[Days]]-Jan_Month[[#This Row],[Absent]]</f>
        <v>30</v>
      </c>
      <c r="BB25" s="23">
        <v>42000</v>
      </c>
      <c r="BC25" s="23">
        <f>Jan_Month[[#This Row],[Salary]]/Jan_Month[[#This Row],[Days]]</f>
        <v>1354.8387096774193</v>
      </c>
      <c r="BD25" s="24">
        <f>Jan_Month[[#This Row],[PerDay Salary]]*Jan_Month[[#This Row],[Absent]]</f>
        <v>1354.8387096774193</v>
      </c>
      <c r="BE25" s="23">
        <f>Jan_Month[[#This Row],[Salary]]-Jan_Month[[#This Row],[Deduction]]</f>
        <v>40645.161290322583</v>
      </c>
      <c r="BF25" s="22"/>
      <c r="BG25" s="53"/>
    </row>
    <row r="26" spans="1:59" ht="15.75" x14ac:dyDescent="0.25">
      <c r="A26" s="47"/>
      <c r="B26" s="47"/>
      <c r="C26" s="47"/>
      <c r="D26" s="48"/>
      <c r="F26" s="50"/>
      <c r="G26" s="3">
        <v>18</v>
      </c>
      <c r="H26" s="4">
        <v>1018</v>
      </c>
      <c r="I26" s="5" t="s">
        <v>20</v>
      </c>
      <c r="J26" s="37">
        <f t="shared" si="9"/>
        <v>4</v>
      </c>
      <c r="K26" s="38" t="s">
        <v>43</v>
      </c>
      <c r="L26" s="38" t="s">
        <v>43</v>
      </c>
      <c r="M26" s="38" t="s">
        <v>43</v>
      </c>
      <c r="N26" s="38" t="s">
        <v>43</v>
      </c>
      <c r="O26" s="38" t="str">
        <f t="shared" si="11"/>
        <v>WO</v>
      </c>
      <c r="P26" s="38" t="s">
        <v>43</v>
      </c>
      <c r="Q26" s="38" t="s">
        <v>43</v>
      </c>
      <c r="R26" s="38" t="s">
        <v>42</v>
      </c>
      <c r="S26" s="38" t="s">
        <v>43</v>
      </c>
      <c r="T26" s="38" t="s">
        <v>43</v>
      </c>
      <c r="U26" s="38" t="s">
        <v>43</v>
      </c>
      <c r="V26" s="38" t="str">
        <f t="shared" si="11"/>
        <v>WO</v>
      </c>
      <c r="W26" s="38" t="s">
        <v>43</v>
      </c>
      <c r="X26" s="38" t="s">
        <v>43</v>
      </c>
      <c r="Y26" s="38" t="s">
        <v>43</v>
      </c>
      <c r="Z26" s="38" t="s">
        <v>42</v>
      </c>
      <c r="AA26" s="38" t="s">
        <v>43</v>
      </c>
      <c r="AB26" s="38" t="s">
        <v>43</v>
      </c>
      <c r="AC26" s="38" t="str">
        <f t="shared" si="10"/>
        <v>WO</v>
      </c>
      <c r="AD26" s="38" t="s">
        <v>43</v>
      </c>
      <c r="AE26" s="38" t="s">
        <v>43</v>
      </c>
      <c r="AF26" s="38" t="s">
        <v>43</v>
      </c>
      <c r="AG26" s="38" t="s">
        <v>43</v>
      </c>
      <c r="AH26" s="38" t="s">
        <v>43</v>
      </c>
      <c r="AI26" s="38" t="s">
        <v>43</v>
      </c>
      <c r="AJ26" s="38" t="str">
        <f t="shared" si="10"/>
        <v>WO</v>
      </c>
      <c r="AK26" s="38" t="s">
        <v>43</v>
      </c>
      <c r="AL26" s="38" t="s">
        <v>43</v>
      </c>
      <c r="AM26" s="38" t="s">
        <v>43</v>
      </c>
      <c r="AN26" s="38" t="s">
        <v>44</v>
      </c>
      <c r="AO26" s="39" t="s">
        <v>43</v>
      </c>
      <c r="AP26" s="50"/>
      <c r="AQ26" s="53"/>
      <c r="AR26" s="19">
        <v>18</v>
      </c>
      <c r="AS26" s="19">
        <v>1018</v>
      </c>
      <c r="AT26" s="19" t="str">
        <f t="shared" si="3"/>
        <v>January</v>
      </c>
      <c r="AU26" s="19" t="s">
        <v>20</v>
      </c>
      <c r="AV26" s="27">
        <f t="shared" si="4"/>
        <v>24</v>
      </c>
      <c r="AW26" s="22">
        <f t="shared" si="5"/>
        <v>1</v>
      </c>
      <c r="AX26" s="22">
        <f t="shared" si="6"/>
        <v>2</v>
      </c>
      <c r="AY26" s="22">
        <f t="shared" si="7"/>
        <v>4</v>
      </c>
      <c r="AZ26" s="22">
        <f t="shared" si="8"/>
        <v>31</v>
      </c>
      <c r="BA26" s="22">
        <f>Jan_Month[[#This Row],[Days]]-Jan_Month[[#This Row],[Absent]]</f>
        <v>30</v>
      </c>
      <c r="BB26" s="23">
        <v>62000</v>
      </c>
      <c r="BC26" s="23">
        <f>Jan_Month[[#This Row],[Salary]]/Jan_Month[[#This Row],[Days]]</f>
        <v>2000</v>
      </c>
      <c r="BD26" s="24">
        <f>Jan_Month[[#This Row],[PerDay Salary]]*Jan_Month[[#This Row],[Absent]]</f>
        <v>2000</v>
      </c>
      <c r="BE26" s="23">
        <f>Jan_Month[[#This Row],[Salary]]-Jan_Month[[#This Row],[Deduction]]</f>
        <v>60000</v>
      </c>
      <c r="BF26" s="22"/>
      <c r="BG26" s="53"/>
    </row>
    <row r="27" spans="1:59" ht="15.75" x14ac:dyDescent="0.25">
      <c r="A27" s="47"/>
      <c r="B27" s="47"/>
      <c r="C27" s="47"/>
      <c r="D27" s="48"/>
      <c r="F27" s="50"/>
      <c r="G27" s="3">
        <v>19</v>
      </c>
      <c r="H27" s="4">
        <v>1019</v>
      </c>
      <c r="I27" s="5" t="s">
        <v>21</v>
      </c>
      <c r="J27" s="37">
        <f t="shared" si="9"/>
        <v>4</v>
      </c>
      <c r="K27" s="38" t="s">
        <v>43</v>
      </c>
      <c r="L27" s="38" t="s">
        <v>44</v>
      </c>
      <c r="M27" s="38" t="s">
        <v>43</v>
      </c>
      <c r="N27" s="38" t="s">
        <v>43</v>
      </c>
      <c r="O27" s="38" t="str">
        <f t="shared" si="11"/>
        <v>WO</v>
      </c>
      <c r="P27" s="38" t="s">
        <v>43</v>
      </c>
      <c r="Q27" s="38" t="s">
        <v>43</v>
      </c>
      <c r="R27" s="38" t="s">
        <v>42</v>
      </c>
      <c r="S27" s="38" t="s">
        <v>43</v>
      </c>
      <c r="T27" s="38" t="s">
        <v>43</v>
      </c>
      <c r="U27" s="38" t="s">
        <v>43</v>
      </c>
      <c r="V27" s="38" t="str">
        <f t="shared" si="11"/>
        <v>WO</v>
      </c>
      <c r="W27" s="38" t="s">
        <v>43</v>
      </c>
      <c r="X27" s="38" t="s">
        <v>43</v>
      </c>
      <c r="Y27" s="38" t="s">
        <v>43</v>
      </c>
      <c r="Z27" s="38" t="s">
        <v>42</v>
      </c>
      <c r="AA27" s="38" t="s">
        <v>43</v>
      </c>
      <c r="AB27" s="38" t="s">
        <v>43</v>
      </c>
      <c r="AC27" s="38" t="str">
        <f t="shared" si="10"/>
        <v>WO</v>
      </c>
      <c r="AD27" s="38" t="s">
        <v>43</v>
      </c>
      <c r="AE27" s="38" t="s">
        <v>43</v>
      </c>
      <c r="AF27" s="38" t="s">
        <v>43</v>
      </c>
      <c r="AG27" s="38" t="s">
        <v>43</v>
      </c>
      <c r="AH27" s="38" t="s">
        <v>43</v>
      </c>
      <c r="AI27" s="38" t="s">
        <v>43</v>
      </c>
      <c r="AJ27" s="38" t="str">
        <f t="shared" si="10"/>
        <v>WO</v>
      </c>
      <c r="AK27" s="38" t="s">
        <v>43</v>
      </c>
      <c r="AL27" s="38" t="s">
        <v>43</v>
      </c>
      <c r="AM27" s="38" t="s">
        <v>43</v>
      </c>
      <c r="AN27" s="38" t="s">
        <v>43</v>
      </c>
      <c r="AO27" s="39" t="s">
        <v>43</v>
      </c>
      <c r="AP27" s="50"/>
      <c r="AQ27" s="53"/>
      <c r="AR27" s="19">
        <v>19</v>
      </c>
      <c r="AS27" s="19">
        <v>1019</v>
      </c>
      <c r="AT27" s="19" t="str">
        <f t="shared" si="3"/>
        <v>January</v>
      </c>
      <c r="AU27" s="19" t="s">
        <v>21</v>
      </c>
      <c r="AV27" s="27">
        <f t="shared" si="4"/>
        <v>24</v>
      </c>
      <c r="AW27" s="22">
        <f t="shared" si="5"/>
        <v>1</v>
      </c>
      <c r="AX27" s="22">
        <f t="shared" si="6"/>
        <v>2</v>
      </c>
      <c r="AY27" s="22">
        <f t="shared" si="7"/>
        <v>4</v>
      </c>
      <c r="AZ27" s="22">
        <f t="shared" si="8"/>
        <v>31</v>
      </c>
      <c r="BA27" s="22">
        <f>Jan_Month[[#This Row],[Days]]-Jan_Month[[#This Row],[Absent]]</f>
        <v>30</v>
      </c>
      <c r="BB27" s="23">
        <v>41000</v>
      </c>
      <c r="BC27" s="23">
        <f>Jan_Month[[#This Row],[Salary]]/Jan_Month[[#This Row],[Days]]</f>
        <v>1322.5806451612902</v>
      </c>
      <c r="BD27" s="24">
        <f>Jan_Month[[#This Row],[PerDay Salary]]*Jan_Month[[#This Row],[Absent]]</f>
        <v>1322.5806451612902</v>
      </c>
      <c r="BE27" s="23">
        <f>Jan_Month[[#This Row],[Salary]]-Jan_Month[[#This Row],[Deduction]]</f>
        <v>39677.419354838712</v>
      </c>
      <c r="BF27" s="22"/>
      <c r="BG27" s="53"/>
    </row>
    <row r="28" spans="1:59" ht="16.5" thickBot="1" x14ac:dyDescent="0.3">
      <c r="A28" s="47"/>
      <c r="B28" s="47"/>
      <c r="C28" s="47"/>
      <c r="D28" s="48"/>
      <c r="F28" s="50"/>
      <c r="G28" s="6">
        <v>20</v>
      </c>
      <c r="H28" s="7">
        <v>1020</v>
      </c>
      <c r="I28" s="8" t="s">
        <v>22</v>
      </c>
      <c r="J28" s="40">
        <f t="shared" si="9"/>
        <v>4</v>
      </c>
      <c r="K28" s="41" t="s">
        <v>43</v>
      </c>
      <c r="L28" s="41" t="s">
        <v>43</v>
      </c>
      <c r="M28" s="41" t="s">
        <v>43</v>
      </c>
      <c r="N28" s="41" t="s">
        <v>43</v>
      </c>
      <c r="O28" s="41" t="str">
        <f t="shared" si="11"/>
        <v>WO</v>
      </c>
      <c r="P28" s="41" t="s">
        <v>43</v>
      </c>
      <c r="Q28" s="41" t="s">
        <v>43</v>
      </c>
      <c r="R28" s="41" t="s">
        <v>42</v>
      </c>
      <c r="S28" s="41" t="s">
        <v>43</v>
      </c>
      <c r="T28" s="41" t="s">
        <v>43</v>
      </c>
      <c r="U28" s="41" t="s">
        <v>43</v>
      </c>
      <c r="V28" s="41" t="str">
        <f t="shared" si="11"/>
        <v>WO</v>
      </c>
      <c r="W28" s="41" t="s">
        <v>44</v>
      </c>
      <c r="X28" s="41" t="s">
        <v>43</v>
      </c>
      <c r="Y28" s="41" t="s">
        <v>43</v>
      </c>
      <c r="Z28" s="41" t="s">
        <v>42</v>
      </c>
      <c r="AA28" s="41" t="s">
        <v>43</v>
      </c>
      <c r="AB28" s="41" t="s">
        <v>43</v>
      </c>
      <c r="AC28" s="41" t="str">
        <f t="shared" si="10"/>
        <v>WO</v>
      </c>
      <c r="AD28" s="41" t="s">
        <v>43</v>
      </c>
      <c r="AE28" s="41" t="s">
        <v>43</v>
      </c>
      <c r="AF28" s="41" t="s">
        <v>43</v>
      </c>
      <c r="AG28" s="41" t="s">
        <v>43</v>
      </c>
      <c r="AH28" s="41" t="s">
        <v>43</v>
      </c>
      <c r="AI28" s="41" t="s">
        <v>43</v>
      </c>
      <c r="AJ28" s="41" t="str">
        <f t="shared" si="10"/>
        <v>WO</v>
      </c>
      <c r="AK28" s="41" t="s">
        <v>44</v>
      </c>
      <c r="AL28" s="41" t="s">
        <v>43</v>
      </c>
      <c r="AM28" s="41" t="s">
        <v>43</v>
      </c>
      <c r="AN28" s="41" t="s">
        <v>43</v>
      </c>
      <c r="AO28" s="42" t="s">
        <v>43</v>
      </c>
      <c r="AP28" s="50"/>
      <c r="AQ28" s="53"/>
      <c r="AR28" s="19">
        <v>20</v>
      </c>
      <c r="AS28" s="19">
        <v>1020</v>
      </c>
      <c r="AT28" s="19" t="str">
        <f t="shared" si="3"/>
        <v>January</v>
      </c>
      <c r="AU28" s="19" t="s">
        <v>22</v>
      </c>
      <c r="AV28" s="27">
        <f t="shared" si="4"/>
        <v>23</v>
      </c>
      <c r="AW28" s="22">
        <f t="shared" si="5"/>
        <v>2</v>
      </c>
      <c r="AX28" s="22">
        <f t="shared" si="6"/>
        <v>2</v>
      </c>
      <c r="AY28" s="22">
        <f t="shared" si="7"/>
        <v>4</v>
      </c>
      <c r="AZ28" s="22">
        <f t="shared" si="8"/>
        <v>31</v>
      </c>
      <c r="BA28" s="22">
        <f>Jan_Month[[#This Row],[Days]]-Jan_Month[[#This Row],[Absent]]</f>
        <v>29</v>
      </c>
      <c r="BB28" s="23">
        <v>30000</v>
      </c>
      <c r="BC28" s="23">
        <f>Jan_Month[[#This Row],[Salary]]/Jan_Month[[#This Row],[Days]]</f>
        <v>967.74193548387098</v>
      </c>
      <c r="BD28" s="24">
        <f>Jan_Month[[#This Row],[PerDay Salary]]*Jan_Month[[#This Row],[Absent]]</f>
        <v>1935.483870967742</v>
      </c>
      <c r="BE28" s="23">
        <f>Jan_Month[[#This Row],[Salary]]-Jan_Month[[#This Row],[Deduction]]</f>
        <v>28064.516129032258</v>
      </c>
      <c r="BF28" s="22"/>
      <c r="BG28" s="53"/>
    </row>
    <row r="29" spans="1:59" ht="15.75" thickTop="1" x14ac:dyDescent="0.25">
      <c r="A29" s="47"/>
      <c r="B29" s="47"/>
      <c r="C29" s="47"/>
      <c r="D29" s="48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</row>
    <row r="30" spans="1:59" x14ac:dyDescent="0.25">
      <c r="D30" s="48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</row>
    <row r="31" spans="1:59" x14ac:dyDescent="0.25">
      <c r="D31" s="48"/>
    </row>
    <row r="32" spans="1:59" x14ac:dyDescent="0.25">
      <c r="D32" s="48"/>
    </row>
    <row r="33" spans="4:4" x14ac:dyDescent="0.25">
      <c r="D33" s="48"/>
    </row>
    <row r="34" spans="4:4" x14ac:dyDescent="0.25">
      <c r="D34" s="48"/>
    </row>
    <row r="35" spans="4:4" x14ac:dyDescent="0.25">
      <c r="D35" s="48"/>
    </row>
    <row r="36" spans="4:4" x14ac:dyDescent="0.25">
      <c r="D36" s="48"/>
    </row>
    <row r="37" spans="4:4" x14ac:dyDescent="0.25">
      <c r="D37" s="48"/>
    </row>
    <row r="38" spans="4:4" x14ac:dyDescent="0.25">
      <c r="D38" s="48"/>
    </row>
    <row r="39" spans="4:4" x14ac:dyDescent="0.25">
      <c r="D39" s="48"/>
    </row>
    <row r="40" spans="4:4" x14ac:dyDescent="0.25">
      <c r="D40" s="48"/>
    </row>
    <row r="41" spans="4:4" x14ac:dyDescent="0.25">
      <c r="D41" s="48"/>
    </row>
    <row r="42" spans="4:4" x14ac:dyDescent="0.25">
      <c r="D42" s="48"/>
    </row>
    <row r="43" spans="4:4" x14ac:dyDescent="0.25">
      <c r="D43" s="48"/>
    </row>
    <row r="44" spans="4:4" x14ac:dyDescent="0.25">
      <c r="D44" s="48"/>
    </row>
    <row r="45" spans="4:4" x14ac:dyDescent="0.25">
      <c r="D45" s="48"/>
    </row>
    <row r="46" spans="4:4" x14ac:dyDescent="0.25">
      <c r="D46" s="48"/>
    </row>
    <row r="47" spans="4:4" x14ac:dyDescent="0.25">
      <c r="D47" s="48"/>
    </row>
    <row r="48" spans="4:4" x14ac:dyDescent="0.25">
      <c r="D48" s="48"/>
    </row>
  </sheetData>
  <mergeCells count="1">
    <mergeCell ref="G7:I7"/>
  </mergeCells>
  <conditionalFormatting sqref="K9:AO28">
    <cfRule type="containsText" dxfId="287" priority="1" operator="containsText" text="L">
      <formula>NOT(ISERROR(SEARCH("L",K9)))</formula>
    </cfRule>
    <cfRule type="containsText" dxfId="286" priority="2" operator="containsText" text="A">
      <formula>NOT(ISERROR(SEARCH("A",K9)))</formula>
    </cfRule>
    <cfRule type="containsText" dxfId="285" priority="3" operator="containsText" text="P">
      <formula>NOT(ISERROR(SEARCH("P",K9)))</formula>
    </cfRule>
    <cfRule type="containsText" dxfId="284" priority="4" operator="containsText" text="WO">
      <formula>NOT(ISERROR(SEARCH("WO",K9)))</formula>
    </cfRule>
    <cfRule type="containsText" dxfId="283" priority="5" operator="containsText" text="WO">
      <formula>NOT(ISERROR(SEARCH("WO",K9)))</formula>
    </cfRule>
  </conditionalFormatting>
  <dataValidations count="2">
    <dataValidation type="list" allowBlank="1" showInputMessage="1" showErrorMessage="1" sqref="K9:N28 P9:Q28 AK9:AO28 AD9:AI28 AA9:AB28 W9:Y28">
      <formula1>"P ,A ,L"</formula1>
    </dataValidation>
    <dataValidation type="list" allowBlank="1" showInputMessage="1" showErrorMessage="1" sqref="S9:U28">
      <formula1>"P ,A  ,L"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Jan!AV9:AY9</xm:f>
              <xm:sqref>BF9</xm:sqref>
            </x14:sparkline>
            <x14:sparkline>
              <xm:f>Jan!AV10:AY10</xm:f>
              <xm:sqref>BF10</xm:sqref>
            </x14:sparkline>
            <x14:sparkline>
              <xm:f>Jan!AV11:AY11</xm:f>
              <xm:sqref>BF11</xm:sqref>
            </x14:sparkline>
            <x14:sparkline>
              <xm:f>Jan!AV12:AY12</xm:f>
              <xm:sqref>BF12</xm:sqref>
            </x14:sparkline>
            <x14:sparkline>
              <xm:f>Jan!AV13:AY13</xm:f>
              <xm:sqref>BF13</xm:sqref>
            </x14:sparkline>
            <x14:sparkline>
              <xm:f>Jan!AV14:AY14</xm:f>
              <xm:sqref>BF14</xm:sqref>
            </x14:sparkline>
            <x14:sparkline>
              <xm:f>Jan!AV15:AY15</xm:f>
              <xm:sqref>BF15</xm:sqref>
            </x14:sparkline>
            <x14:sparkline>
              <xm:f>Jan!AV16:AY16</xm:f>
              <xm:sqref>BF16</xm:sqref>
            </x14:sparkline>
            <x14:sparkline>
              <xm:f>Jan!AV17:AY17</xm:f>
              <xm:sqref>BF17</xm:sqref>
            </x14:sparkline>
            <x14:sparkline>
              <xm:f>Jan!AV18:AY18</xm:f>
              <xm:sqref>BF18</xm:sqref>
            </x14:sparkline>
            <x14:sparkline>
              <xm:f>Jan!AV19:AY19</xm:f>
              <xm:sqref>BF19</xm:sqref>
            </x14:sparkline>
            <x14:sparkline>
              <xm:f>Jan!AV20:AY20</xm:f>
              <xm:sqref>BF20</xm:sqref>
            </x14:sparkline>
            <x14:sparkline>
              <xm:f>Jan!AV21:AY21</xm:f>
              <xm:sqref>BF21</xm:sqref>
            </x14:sparkline>
            <x14:sparkline>
              <xm:f>Jan!AV22:AY22</xm:f>
              <xm:sqref>BF22</xm:sqref>
            </x14:sparkline>
            <x14:sparkline>
              <xm:f>Jan!AV23:AY23</xm:f>
              <xm:sqref>BF23</xm:sqref>
            </x14:sparkline>
            <x14:sparkline>
              <xm:f>Jan!AV24:AY24</xm:f>
              <xm:sqref>BF24</xm:sqref>
            </x14:sparkline>
            <x14:sparkline>
              <xm:f>Jan!AV25:AY25</xm:f>
              <xm:sqref>BF25</xm:sqref>
            </x14:sparkline>
            <x14:sparkline>
              <xm:f>Jan!AV26:AY26</xm:f>
              <xm:sqref>BF26</xm:sqref>
            </x14:sparkline>
            <x14:sparkline>
              <xm:f>Jan!AV27:AY27</xm:f>
              <xm:sqref>BF27</xm:sqref>
            </x14:sparkline>
            <x14:sparkline>
              <xm:f>Jan!AV28:AY28</xm:f>
              <xm:sqref>BF28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zoomScale="70" zoomScaleNormal="70" workbookViewId="0">
      <selection activeCell="G7" sqref="G7:I7"/>
    </sheetView>
  </sheetViews>
  <sheetFormatPr defaultRowHeight="15" x14ac:dyDescent="0.25"/>
  <cols>
    <col min="1" max="3" width="9.140625" style="48"/>
    <col min="4" max="4" width="9.140625" style="47"/>
    <col min="5" max="6" width="9.140625" style="48"/>
    <col min="7" max="7" width="7.140625" style="48" bestFit="1" customWidth="1"/>
    <col min="8" max="8" width="13.140625" style="48" bestFit="1" customWidth="1"/>
    <col min="9" max="9" width="22.42578125" style="48" bestFit="1" customWidth="1"/>
    <col min="10" max="10" width="10" style="48" bestFit="1" customWidth="1"/>
    <col min="11" max="37" width="4.42578125" style="48" customWidth="1"/>
    <col min="38" max="38" width="6.28515625" style="48" customWidth="1"/>
    <col min="39" max="41" width="4.42578125" style="48" customWidth="1"/>
    <col min="42" max="43" width="9.140625" style="48"/>
    <col min="44" max="44" width="7.28515625" style="48" customWidth="1"/>
    <col min="45" max="46" width="14.140625" style="48" customWidth="1"/>
    <col min="47" max="47" width="17.85546875" style="48" customWidth="1"/>
    <col min="48" max="48" width="9.85546875" style="48" customWidth="1"/>
    <col min="49" max="49" width="9.28515625" style="48" customWidth="1"/>
    <col min="50" max="50" width="9.140625" style="48"/>
    <col min="51" max="51" width="11.85546875" style="48" customWidth="1"/>
    <col min="52" max="52" width="9.140625" style="48"/>
    <col min="53" max="53" width="12" style="48" customWidth="1"/>
    <col min="54" max="54" width="12.42578125" style="48" bestFit="1" customWidth="1"/>
    <col min="55" max="55" width="15.7109375" style="48" customWidth="1"/>
    <col min="56" max="56" width="12.140625" style="48" customWidth="1"/>
    <col min="57" max="57" width="13.7109375" style="48" customWidth="1"/>
    <col min="58" max="58" width="15.5703125" style="48" bestFit="1" customWidth="1"/>
    <col min="59" max="16384" width="9.140625" style="48"/>
  </cols>
  <sheetData>
    <row r="1" spans="1:59" x14ac:dyDescent="0.25">
      <c r="A1" s="47"/>
      <c r="B1" s="47"/>
      <c r="C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</row>
    <row r="2" spans="1:59" x14ac:dyDescent="0.25">
      <c r="A2" s="47"/>
      <c r="B2" s="47"/>
      <c r="C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</row>
    <row r="3" spans="1:59" x14ac:dyDescent="0.25">
      <c r="A3" s="47"/>
      <c r="B3" s="47"/>
      <c r="C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</row>
    <row r="4" spans="1:59" x14ac:dyDescent="0.25">
      <c r="A4" s="47"/>
      <c r="B4" s="47"/>
      <c r="C4" s="47"/>
      <c r="D4" s="48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 s="47"/>
      <c r="B5" s="47"/>
      <c r="C5" s="47"/>
      <c r="D5" s="48"/>
      <c r="F5" s="43"/>
      <c r="G5" s="43" t="s">
        <v>27</v>
      </c>
      <c r="H5" s="44">
        <v>45689</v>
      </c>
      <c r="I5" s="43">
        <f>(DATEDIF($H$5,$L$5,"D"))+1</f>
        <v>28</v>
      </c>
      <c r="J5" s="43" t="str">
        <f>TEXT(H5,"MMMM")</f>
        <v>February</v>
      </c>
      <c r="K5" s="43" t="s">
        <v>28</v>
      </c>
      <c r="L5" s="44">
        <f>EOMONTH(H5,0)</f>
        <v>45716</v>
      </c>
      <c r="M5" s="43"/>
      <c r="BD5" s="49"/>
    </row>
    <row r="6" spans="1:59" ht="15.75" thickBot="1" x14ac:dyDescent="0.3">
      <c r="A6" s="47"/>
      <c r="B6" s="47"/>
      <c r="C6" s="47"/>
      <c r="D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30" thickTop="1" x14ac:dyDescent="0.25">
      <c r="A7" s="47"/>
      <c r="B7" s="47"/>
      <c r="C7" s="47"/>
      <c r="D7" s="48"/>
      <c r="F7" s="50"/>
      <c r="G7" s="61" t="s">
        <v>30</v>
      </c>
      <c r="H7" s="62"/>
      <c r="I7" s="63"/>
      <c r="J7" s="64" t="s">
        <v>29</v>
      </c>
      <c r="K7" s="59" t="str">
        <f>TEXT(K8,"DDD")</f>
        <v>Sat</v>
      </c>
      <c r="L7" s="59" t="str">
        <f t="shared" ref="L7:AO7" si="0">TEXT(L8,"DDD")</f>
        <v>Sun</v>
      </c>
      <c r="M7" s="59" t="str">
        <f t="shared" si="0"/>
        <v>Mon</v>
      </c>
      <c r="N7" s="59" t="str">
        <f t="shared" si="0"/>
        <v>Tue</v>
      </c>
      <c r="O7" s="59" t="str">
        <f t="shared" si="0"/>
        <v>Wed</v>
      </c>
      <c r="P7" s="59" t="str">
        <f t="shared" si="0"/>
        <v>Thu</v>
      </c>
      <c r="Q7" s="59" t="str">
        <f t="shared" si="0"/>
        <v>Fri</v>
      </c>
      <c r="R7" s="59" t="str">
        <f t="shared" si="0"/>
        <v>Sat</v>
      </c>
      <c r="S7" s="59" t="str">
        <f t="shared" si="0"/>
        <v>Sun</v>
      </c>
      <c r="T7" s="59" t="str">
        <f t="shared" si="0"/>
        <v>Mon</v>
      </c>
      <c r="U7" s="59" t="str">
        <f t="shared" si="0"/>
        <v>Tue</v>
      </c>
      <c r="V7" s="59" t="str">
        <f t="shared" si="0"/>
        <v>Wed</v>
      </c>
      <c r="W7" s="59" t="str">
        <f t="shared" si="0"/>
        <v>Thu</v>
      </c>
      <c r="X7" s="59" t="str">
        <f t="shared" si="0"/>
        <v>Fri</v>
      </c>
      <c r="Y7" s="59" t="str">
        <f t="shared" si="0"/>
        <v>Sat</v>
      </c>
      <c r="Z7" s="59" t="str">
        <f t="shared" si="0"/>
        <v>Sun</v>
      </c>
      <c r="AA7" s="59" t="str">
        <f t="shared" si="0"/>
        <v>Mon</v>
      </c>
      <c r="AB7" s="59" t="str">
        <f t="shared" si="0"/>
        <v>Tue</v>
      </c>
      <c r="AC7" s="59" t="str">
        <f t="shared" si="0"/>
        <v>Wed</v>
      </c>
      <c r="AD7" s="59" t="str">
        <f t="shared" si="0"/>
        <v>Thu</v>
      </c>
      <c r="AE7" s="59" t="str">
        <f t="shared" si="0"/>
        <v>Fri</v>
      </c>
      <c r="AF7" s="59" t="str">
        <f t="shared" si="0"/>
        <v>Sat</v>
      </c>
      <c r="AG7" s="59" t="str">
        <f t="shared" si="0"/>
        <v>Sun</v>
      </c>
      <c r="AH7" s="59" t="str">
        <f t="shared" si="0"/>
        <v>Mon</v>
      </c>
      <c r="AI7" s="59" t="str">
        <f t="shared" si="0"/>
        <v>Tue</v>
      </c>
      <c r="AJ7" s="59" t="str">
        <f t="shared" si="0"/>
        <v>Wed</v>
      </c>
      <c r="AK7" s="59" t="str">
        <f t="shared" si="0"/>
        <v>Thu</v>
      </c>
      <c r="AL7" s="59" t="str">
        <f t="shared" si="0"/>
        <v>Fri</v>
      </c>
      <c r="AM7" s="16" t="str">
        <f t="shared" si="0"/>
        <v/>
      </c>
      <c r="AN7" s="16" t="str">
        <f t="shared" si="0"/>
        <v/>
      </c>
      <c r="AO7" s="17" t="str">
        <f t="shared" si="0"/>
        <v/>
      </c>
      <c r="AP7" s="50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 s="47"/>
      <c r="B8" s="47"/>
      <c r="C8" s="47"/>
      <c r="D8" s="48"/>
      <c r="F8" s="50"/>
      <c r="G8" s="9" t="s">
        <v>23</v>
      </c>
      <c r="H8" s="10" t="s">
        <v>24</v>
      </c>
      <c r="I8" s="11" t="s">
        <v>25</v>
      </c>
      <c r="J8" s="12" t="s">
        <v>26</v>
      </c>
      <c r="K8" s="13">
        <f>H5</f>
        <v>45689</v>
      </c>
      <c r="L8" s="13">
        <f>IF(K8&lt;$L$5,K8+1,"")</f>
        <v>45690</v>
      </c>
      <c r="M8" s="13">
        <f t="shared" ref="M8:AO8" si="1">IF(L8&lt;$L$5,L8+1,"")</f>
        <v>45691</v>
      </c>
      <c r="N8" s="13">
        <f t="shared" si="1"/>
        <v>45692</v>
      </c>
      <c r="O8" s="13">
        <f t="shared" si="1"/>
        <v>45693</v>
      </c>
      <c r="P8" s="13">
        <f t="shared" si="1"/>
        <v>45694</v>
      </c>
      <c r="Q8" s="13">
        <f t="shared" si="1"/>
        <v>45695</v>
      </c>
      <c r="R8" s="13">
        <f t="shared" si="1"/>
        <v>45696</v>
      </c>
      <c r="S8" s="13">
        <f t="shared" si="1"/>
        <v>45697</v>
      </c>
      <c r="T8" s="13">
        <f t="shared" si="1"/>
        <v>45698</v>
      </c>
      <c r="U8" s="13">
        <f t="shared" si="1"/>
        <v>45699</v>
      </c>
      <c r="V8" s="13">
        <f t="shared" si="1"/>
        <v>45700</v>
      </c>
      <c r="W8" s="13">
        <f t="shared" si="1"/>
        <v>45701</v>
      </c>
      <c r="X8" s="13">
        <f t="shared" si="1"/>
        <v>45702</v>
      </c>
      <c r="Y8" s="13">
        <f t="shared" si="1"/>
        <v>45703</v>
      </c>
      <c r="Z8" s="13">
        <f t="shared" si="1"/>
        <v>45704</v>
      </c>
      <c r="AA8" s="13">
        <f t="shared" si="1"/>
        <v>45705</v>
      </c>
      <c r="AB8" s="13">
        <f t="shared" si="1"/>
        <v>45706</v>
      </c>
      <c r="AC8" s="13">
        <f t="shared" si="1"/>
        <v>45707</v>
      </c>
      <c r="AD8" s="13">
        <f t="shared" si="1"/>
        <v>45708</v>
      </c>
      <c r="AE8" s="13">
        <f t="shared" si="1"/>
        <v>45709</v>
      </c>
      <c r="AF8" s="13">
        <f t="shared" si="1"/>
        <v>45710</v>
      </c>
      <c r="AG8" s="13">
        <f t="shared" si="1"/>
        <v>45711</v>
      </c>
      <c r="AH8" s="13">
        <f t="shared" si="1"/>
        <v>45712</v>
      </c>
      <c r="AI8" s="13">
        <f t="shared" si="1"/>
        <v>45713</v>
      </c>
      <c r="AJ8" s="13">
        <f t="shared" si="1"/>
        <v>45714</v>
      </c>
      <c r="AK8" s="13">
        <f t="shared" si="1"/>
        <v>45715</v>
      </c>
      <c r="AL8" s="13">
        <f t="shared" si="1"/>
        <v>45716</v>
      </c>
      <c r="AM8" s="13" t="str">
        <f t="shared" si="1"/>
        <v/>
      </c>
      <c r="AN8" s="13" t="str">
        <f t="shared" si="1"/>
        <v/>
      </c>
      <c r="AO8" s="14" t="str">
        <f t="shared" si="1"/>
        <v/>
      </c>
      <c r="AP8" s="51"/>
      <c r="AQ8" s="52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53"/>
    </row>
    <row r="9" spans="1:59" ht="16.5" thickTop="1" x14ac:dyDescent="0.25">
      <c r="A9" s="47"/>
      <c r="B9" s="47"/>
      <c r="C9" s="47"/>
      <c r="D9" s="48"/>
      <c r="F9" s="50"/>
      <c r="G9" s="3">
        <v>1</v>
      </c>
      <c r="H9" s="4">
        <v>1001</v>
      </c>
      <c r="I9" s="5" t="s">
        <v>3</v>
      </c>
      <c r="J9" s="37">
        <f>COUNTIF($K$7:$AO$7,"Sun")</f>
        <v>4</v>
      </c>
      <c r="K9" s="38" t="s">
        <v>43</v>
      </c>
      <c r="L9" s="38" t="str">
        <f t="shared" ref="L9:AG17" si="2">IF(L$7="Sun","WO","")</f>
        <v>WO</v>
      </c>
      <c r="M9" s="38" t="s">
        <v>43</v>
      </c>
      <c r="N9" s="38" t="s">
        <v>43</v>
      </c>
      <c r="O9" s="38" t="s">
        <v>43</v>
      </c>
      <c r="P9" s="38" t="s">
        <v>42</v>
      </c>
      <c r="Q9" s="38" t="s">
        <v>43</v>
      </c>
      <c r="R9" s="38" t="s">
        <v>43</v>
      </c>
      <c r="S9" s="38" t="s">
        <v>43</v>
      </c>
      <c r="T9" s="38" t="s">
        <v>43</v>
      </c>
      <c r="U9" s="38" t="s">
        <v>43</v>
      </c>
      <c r="V9" s="38" t="s">
        <v>43</v>
      </c>
      <c r="W9" s="38" t="s">
        <v>43</v>
      </c>
      <c r="X9" s="38" t="s">
        <v>43</v>
      </c>
      <c r="Y9" s="38" t="s">
        <v>43</v>
      </c>
      <c r="Z9" s="38" t="str">
        <f t="shared" si="2"/>
        <v>WO</v>
      </c>
      <c r="AA9" s="38" t="s">
        <v>43</v>
      </c>
      <c r="AB9" s="38" t="s">
        <v>43</v>
      </c>
      <c r="AC9" s="38" t="s">
        <v>42</v>
      </c>
      <c r="AD9" s="38" t="s">
        <v>43</v>
      </c>
      <c r="AE9" s="38" t="s">
        <v>43</v>
      </c>
      <c r="AF9" s="38" t="s">
        <v>43</v>
      </c>
      <c r="AG9" s="38" t="str">
        <f t="shared" si="2"/>
        <v>WO</v>
      </c>
      <c r="AH9" s="38" t="s">
        <v>43</v>
      </c>
      <c r="AI9" s="38" t="s">
        <v>43</v>
      </c>
      <c r="AJ9" s="38" t="s">
        <v>43</v>
      </c>
      <c r="AK9" s="38" t="s">
        <v>43</v>
      </c>
      <c r="AL9" s="38" t="s">
        <v>43</v>
      </c>
      <c r="AM9" s="38"/>
      <c r="AN9" s="38"/>
      <c r="AO9" s="39"/>
      <c r="AP9" s="50"/>
      <c r="AQ9" s="53"/>
      <c r="AR9" s="19">
        <v>1</v>
      </c>
      <c r="AS9" s="19">
        <v>1001</v>
      </c>
      <c r="AT9" s="19" t="str">
        <f t="shared" ref="AT9:AT28" si="3">$J$5</f>
        <v>February</v>
      </c>
      <c r="AU9" s="19" t="s">
        <v>3</v>
      </c>
      <c r="AV9" s="26">
        <f t="shared" ref="AV9:AV28" si="4">COUNTIF($K9:$AO9,"*P*")</f>
        <v>23</v>
      </c>
      <c r="AW9" s="20">
        <f t="shared" ref="AW9:AW28" si="5">COUNTIF($K9:$AO9,"*A*")</f>
        <v>0</v>
      </c>
      <c r="AX9" s="20">
        <f t="shared" ref="AX9:AX28" si="6">COUNTIF($K9:$AO9,"L")</f>
        <v>2</v>
      </c>
      <c r="AY9" s="20">
        <f t="shared" ref="AY9:AY28" si="7">$J$9</f>
        <v>4</v>
      </c>
      <c r="AZ9" s="20">
        <f t="shared" ref="AZ9:AZ28" si="8">$I$5</f>
        <v>28</v>
      </c>
      <c r="BA9" s="20">
        <f>Feb_Month[[#This Row],[Days]]-Feb_Month[[#This Row],[Absent]]</f>
        <v>28</v>
      </c>
      <c r="BB9" s="21">
        <v>10000</v>
      </c>
      <c r="BC9" s="21">
        <f>Feb_Month[[#This Row],[Salary]]/Feb_Month[[#This Row],[Days]]</f>
        <v>357.14285714285717</v>
      </c>
      <c r="BD9" s="24">
        <f>Feb_Month[[#This Row],[PerDay Salary]]*Feb_Month[[#This Row],[Absent]]</f>
        <v>0</v>
      </c>
      <c r="BE9" s="23">
        <f>Feb_Month[[#This Row],[Salary]]-Feb_Month[[#This Row],[Deduction]]</f>
        <v>10000</v>
      </c>
      <c r="BF9" s="22"/>
      <c r="BG9" s="53"/>
    </row>
    <row r="10" spans="1:59" ht="15.75" x14ac:dyDescent="0.25">
      <c r="A10" s="47"/>
      <c r="B10" s="47"/>
      <c r="C10" s="47"/>
      <c r="D10" s="48"/>
      <c r="F10" s="50"/>
      <c r="G10" s="3">
        <v>2</v>
      </c>
      <c r="H10" s="4">
        <v>1002</v>
      </c>
      <c r="I10" s="5" t="s">
        <v>4</v>
      </c>
      <c r="J10" s="37">
        <f t="shared" ref="J10:J28" si="9">COUNTIF($K$7:$AO$7,"Sun")</f>
        <v>4</v>
      </c>
      <c r="K10" s="38" t="s">
        <v>43</v>
      </c>
      <c r="L10" s="38" t="str">
        <f t="shared" si="2"/>
        <v>WO</v>
      </c>
      <c r="M10" s="38" t="s">
        <v>43</v>
      </c>
      <c r="N10" s="38" t="s">
        <v>43</v>
      </c>
      <c r="O10" s="38" t="s">
        <v>43</v>
      </c>
      <c r="P10" s="38" t="s">
        <v>42</v>
      </c>
      <c r="Q10" s="38" t="s">
        <v>43</v>
      </c>
      <c r="R10" s="38" t="s">
        <v>43</v>
      </c>
      <c r="S10" s="38" t="s">
        <v>43</v>
      </c>
      <c r="T10" s="38" t="s">
        <v>43</v>
      </c>
      <c r="U10" s="38" t="s">
        <v>43</v>
      </c>
      <c r="V10" s="38" t="s">
        <v>43</v>
      </c>
      <c r="W10" s="38" t="s">
        <v>43</v>
      </c>
      <c r="X10" s="38" t="s">
        <v>43</v>
      </c>
      <c r="Y10" s="38" t="s">
        <v>43</v>
      </c>
      <c r="Z10" s="38" t="str">
        <f t="shared" si="2"/>
        <v>WO</v>
      </c>
      <c r="AA10" s="38" t="s">
        <v>44</v>
      </c>
      <c r="AB10" s="38" t="s">
        <v>44</v>
      </c>
      <c r="AC10" s="38" t="s">
        <v>42</v>
      </c>
      <c r="AD10" s="38" t="s">
        <v>43</v>
      </c>
      <c r="AE10" s="38" t="s">
        <v>43</v>
      </c>
      <c r="AF10" s="38" t="s">
        <v>43</v>
      </c>
      <c r="AG10" s="38" t="str">
        <f t="shared" si="2"/>
        <v>WO</v>
      </c>
      <c r="AH10" s="38" t="s">
        <v>43</v>
      </c>
      <c r="AI10" s="38" t="s">
        <v>43</v>
      </c>
      <c r="AJ10" s="38" t="s">
        <v>43</v>
      </c>
      <c r="AK10" s="38" t="s">
        <v>43</v>
      </c>
      <c r="AL10" s="38" t="s">
        <v>43</v>
      </c>
      <c r="AM10" s="38"/>
      <c r="AN10" s="38"/>
      <c r="AO10" s="39"/>
      <c r="AP10" s="50"/>
      <c r="AQ10" s="53"/>
      <c r="AR10" s="19">
        <v>2</v>
      </c>
      <c r="AS10" s="19">
        <v>1002</v>
      </c>
      <c r="AT10" s="19" t="str">
        <f t="shared" si="3"/>
        <v>February</v>
      </c>
      <c r="AU10" s="19" t="s">
        <v>4</v>
      </c>
      <c r="AV10" s="27">
        <f t="shared" si="4"/>
        <v>21</v>
      </c>
      <c r="AW10" s="22">
        <f t="shared" si="5"/>
        <v>2</v>
      </c>
      <c r="AX10" s="22">
        <f t="shared" si="6"/>
        <v>2</v>
      </c>
      <c r="AY10" s="22">
        <f t="shared" si="7"/>
        <v>4</v>
      </c>
      <c r="AZ10" s="22">
        <f t="shared" si="8"/>
        <v>28</v>
      </c>
      <c r="BA10" s="22">
        <f>Feb_Month[[#This Row],[Days]]-Feb_Month[[#This Row],[Absent]]</f>
        <v>26</v>
      </c>
      <c r="BB10" s="23">
        <v>20000</v>
      </c>
      <c r="BC10" s="23">
        <f>Feb_Month[[#This Row],[Salary]]/Feb_Month[[#This Row],[Days]]</f>
        <v>714.28571428571433</v>
      </c>
      <c r="BD10" s="24">
        <f>Feb_Month[[#This Row],[PerDay Salary]]*Feb_Month[[#This Row],[Absent]]</f>
        <v>1428.5714285714287</v>
      </c>
      <c r="BE10" s="23">
        <f>Feb_Month[[#This Row],[Salary]]-Feb_Month[[#This Row],[Deduction]]</f>
        <v>18571.428571428572</v>
      </c>
      <c r="BF10" s="22"/>
      <c r="BG10" s="53"/>
    </row>
    <row r="11" spans="1:59" ht="15.75" x14ac:dyDescent="0.25">
      <c r="A11" s="47"/>
      <c r="B11" s="47"/>
      <c r="C11" s="47"/>
      <c r="D11" s="48"/>
      <c r="F11" s="50"/>
      <c r="G11" s="3">
        <v>3</v>
      </c>
      <c r="H11" s="4">
        <v>1003</v>
      </c>
      <c r="I11" s="5" t="s">
        <v>5</v>
      </c>
      <c r="J11" s="37">
        <f t="shared" si="9"/>
        <v>4</v>
      </c>
      <c r="K11" s="38" t="s">
        <v>43</v>
      </c>
      <c r="L11" s="38" t="str">
        <f t="shared" si="2"/>
        <v>WO</v>
      </c>
      <c r="M11" s="38" t="s">
        <v>43</v>
      </c>
      <c r="N11" s="38" t="s">
        <v>43</v>
      </c>
      <c r="O11" s="38" t="s">
        <v>43</v>
      </c>
      <c r="P11" s="38" t="s">
        <v>42</v>
      </c>
      <c r="Q11" s="38" t="s">
        <v>43</v>
      </c>
      <c r="R11" s="38" t="s">
        <v>43</v>
      </c>
      <c r="S11" s="38" t="s">
        <v>43</v>
      </c>
      <c r="T11" s="38" t="s">
        <v>43</v>
      </c>
      <c r="U11" s="38" t="s">
        <v>43</v>
      </c>
      <c r="V11" s="38" t="s">
        <v>44</v>
      </c>
      <c r="W11" s="38" t="s">
        <v>43</v>
      </c>
      <c r="X11" s="38" t="s">
        <v>43</v>
      </c>
      <c r="Y11" s="38" t="s">
        <v>43</v>
      </c>
      <c r="Z11" s="38" t="str">
        <f t="shared" si="2"/>
        <v>WO</v>
      </c>
      <c r="AA11" s="38" t="s">
        <v>43</v>
      </c>
      <c r="AB11" s="38" t="s">
        <v>43</v>
      </c>
      <c r="AC11" s="38" t="s">
        <v>42</v>
      </c>
      <c r="AD11" s="38" t="s">
        <v>43</v>
      </c>
      <c r="AE11" s="38" t="s">
        <v>43</v>
      </c>
      <c r="AF11" s="38" t="s">
        <v>43</v>
      </c>
      <c r="AG11" s="38" t="str">
        <f t="shared" si="2"/>
        <v>WO</v>
      </c>
      <c r="AH11" s="38" t="s">
        <v>43</v>
      </c>
      <c r="AI11" s="38" t="s">
        <v>43</v>
      </c>
      <c r="AJ11" s="38" t="s">
        <v>43</v>
      </c>
      <c r="AK11" s="38" t="s">
        <v>43</v>
      </c>
      <c r="AL11" s="38" t="s">
        <v>43</v>
      </c>
      <c r="AM11" s="38"/>
      <c r="AN11" s="38"/>
      <c r="AO11" s="39"/>
      <c r="AP11" s="50"/>
      <c r="AQ11" s="53"/>
      <c r="AR11" s="19">
        <v>3</v>
      </c>
      <c r="AS11" s="19">
        <v>1003</v>
      </c>
      <c r="AT11" s="19" t="str">
        <f t="shared" si="3"/>
        <v>February</v>
      </c>
      <c r="AU11" s="19" t="s">
        <v>5</v>
      </c>
      <c r="AV11" s="27">
        <f t="shared" si="4"/>
        <v>22</v>
      </c>
      <c r="AW11" s="22">
        <f t="shared" si="5"/>
        <v>1</v>
      </c>
      <c r="AX11" s="22">
        <f t="shared" si="6"/>
        <v>2</v>
      </c>
      <c r="AY11" s="22">
        <f t="shared" si="7"/>
        <v>4</v>
      </c>
      <c r="AZ11" s="22">
        <f t="shared" si="8"/>
        <v>28</v>
      </c>
      <c r="BA11" s="22">
        <f>Feb_Month[[#This Row],[Days]]-Feb_Month[[#This Row],[Absent]]</f>
        <v>27</v>
      </c>
      <c r="BB11" s="23">
        <v>25000</v>
      </c>
      <c r="BC11" s="23">
        <f>Feb_Month[[#This Row],[Salary]]/Feb_Month[[#This Row],[Days]]</f>
        <v>892.85714285714289</v>
      </c>
      <c r="BD11" s="24">
        <f>Feb_Month[[#This Row],[PerDay Salary]]*Feb_Month[[#This Row],[Absent]]</f>
        <v>892.85714285714289</v>
      </c>
      <c r="BE11" s="23">
        <f>Feb_Month[[#This Row],[Salary]]-Feb_Month[[#This Row],[Deduction]]</f>
        <v>24107.142857142859</v>
      </c>
      <c r="BF11" s="22"/>
      <c r="BG11" s="53"/>
    </row>
    <row r="12" spans="1:59" ht="15.75" x14ac:dyDescent="0.25">
      <c r="A12" s="47"/>
      <c r="B12" s="47"/>
      <c r="C12" s="47"/>
      <c r="D12" s="48"/>
      <c r="F12" s="50"/>
      <c r="G12" s="3">
        <v>4</v>
      </c>
      <c r="H12" s="4">
        <v>1004</v>
      </c>
      <c r="I12" s="5" t="s">
        <v>6</v>
      </c>
      <c r="J12" s="37">
        <f t="shared" si="9"/>
        <v>4</v>
      </c>
      <c r="K12" s="38" t="s">
        <v>43</v>
      </c>
      <c r="L12" s="38" t="str">
        <f t="shared" si="2"/>
        <v>WO</v>
      </c>
      <c r="M12" s="38" t="s">
        <v>43</v>
      </c>
      <c r="N12" s="38" t="s">
        <v>43</v>
      </c>
      <c r="O12" s="38" t="s">
        <v>43</v>
      </c>
      <c r="P12" s="38" t="s">
        <v>42</v>
      </c>
      <c r="Q12" s="38" t="s">
        <v>43</v>
      </c>
      <c r="R12" s="38" t="s">
        <v>43</v>
      </c>
      <c r="S12" s="38" t="s">
        <v>43</v>
      </c>
      <c r="T12" s="38" t="s">
        <v>43</v>
      </c>
      <c r="U12" s="38" t="s">
        <v>43</v>
      </c>
      <c r="V12" s="38" t="s">
        <v>43</v>
      </c>
      <c r="W12" s="38" t="s">
        <v>43</v>
      </c>
      <c r="X12" s="38" t="s">
        <v>43</v>
      </c>
      <c r="Y12" s="38" t="s">
        <v>43</v>
      </c>
      <c r="Z12" s="38" t="str">
        <f t="shared" si="2"/>
        <v>WO</v>
      </c>
      <c r="AA12" s="38" t="s">
        <v>43</v>
      </c>
      <c r="AB12" s="38" t="s">
        <v>43</v>
      </c>
      <c r="AC12" s="38" t="s">
        <v>42</v>
      </c>
      <c r="AD12" s="38" t="s">
        <v>43</v>
      </c>
      <c r="AE12" s="38" t="s">
        <v>43</v>
      </c>
      <c r="AF12" s="38" t="s">
        <v>43</v>
      </c>
      <c r="AG12" s="38" t="str">
        <f t="shared" si="2"/>
        <v>WO</v>
      </c>
      <c r="AH12" s="38" t="s">
        <v>43</v>
      </c>
      <c r="AI12" s="38" t="s">
        <v>43</v>
      </c>
      <c r="AJ12" s="38" t="s">
        <v>43</v>
      </c>
      <c r="AK12" s="38" t="s">
        <v>43</v>
      </c>
      <c r="AL12" s="38" t="s">
        <v>43</v>
      </c>
      <c r="AM12" s="38"/>
      <c r="AN12" s="38"/>
      <c r="AO12" s="39"/>
      <c r="AP12" s="50"/>
      <c r="AQ12" s="53"/>
      <c r="AR12" s="19">
        <v>4</v>
      </c>
      <c r="AS12" s="19">
        <v>1004</v>
      </c>
      <c r="AT12" s="19" t="str">
        <f t="shared" si="3"/>
        <v>February</v>
      </c>
      <c r="AU12" s="19" t="s">
        <v>6</v>
      </c>
      <c r="AV12" s="27">
        <f t="shared" si="4"/>
        <v>23</v>
      </c>
      <c r="AW12" s="22">
        <f t="shared" si="5"/>
        <v>0</v>
      </c>
      <c r="AX12" s="22">
        <f t="shared" si="6"/>
        <v>2</v>
      </c>
      <c r="AY12" s="22">
        <f t="shared" si="7"/>
        <v>4</v>
      </c>
      <c r="AZ12" s="22">
        <f t="shared" si="8"/>
        <v>28</v>
      </c>
      <c r="BA12" s="22">
        <f>Feb_Month[[#This Row],[Days]]-Feb_Month[[#This Row],[Absent]]</f>
        <v>28</v>
      </c>
      <c r="BB12" s="23">
        <v>30000</v>
      </c>
      <c r="BC12" s="23">
        <f>Feb_Month[[#This Row],[Salary]]/Feb_Month[[#This Row],[Days]]</f>
        <v>1071.4285714285713</v>
      </c>
      <c r="BD12" s="24">
        <f>Feb_Month[[#This Row],[PerDay Salary]]*Feb_Month[[#This Row],[Absent]]</f>
        <v>0</v>
      </c>
      <c r="BE12" s="23">
        <f>Feb_Month[[#This Row],[Salary]]-Feb_Month[[#This Row],[Deduction]]</f>
        <v>30000</v>
      </c>
      <c r="BF12" s="22"/>
      <c r="BG12" s="53"/>
    </row>
    <row r="13" spans="1:59" ht="15.75" x14ac:dyDescent="0.25">
      <c r="A13" s="47"/>
      <c r="B13" s="47"/>
      <c r="C13" s="47"/>
      <c r="D13" s="48"/>
      <c r="F13" s="50"/>
      <c r="G13" s="3">
        <v>5</v>
      </c>
      <c r="H13" s="4">
        <v>1005</v>
      </c>
      <c r="I13" s="5" t="s">
        <v>7</v>
      </c>
      <c r="J13" s="37">
        <f t="shared" si="9"/>
        <v>4</v>
      </c>
      <c r="K13" s="38" t="s">
        <v>43</v>
      </c>
      <c r="L13" s="38" t="str">
        <f t="shared" si="2"/>
        <v>WO</v>
      </c>
      <c r="M13" s="38" t="s">
        <v>43</v>
      </c>
      <c r="N13" s="38" t="s">
        <v>43</v>
      </c>
      <c r="O13" s="38" t="s">
        <v>43</v>
      </c>
      <c r="P13" s="38" t="s">
        <v>42</v>
      </c>
      <c r="Q13" s="38" t="s">
        <v>43</v>
      </c>
      <c r="R13" s="38" t="s">
        <v>43</v>
      </c>
      <c r="S13" s="38" t="s">
        <v>43</v>
      </c>
      <c r="T13" s="38" t="s">
        <v>43</v>
      </c>
      <c r="U13" s="38" t="s">
        <v>43</v>
      </c>
      <c r="V13" s="38" t="s">
        <v>43</v>
      </c>
      <c r="W13" s="38" t="s">
        <v>43</v>
      </c>
      <c r="X13" s="38" t="s">
        <v>43</v>
      </c>
      <c r="Y13" s="38" t="s">
        <v>43</v>
      </c>
      <c r="Z13" s="38" t="str">
        <f t="shared" si="2"/>
        <v>WO</v>
      </c>
      <c r="AA13" s="38" t="s">
        <v>43</v>
      </c>
      <c r="AB13" s="38" t="s">
        <v>43</v>
      </c>
      <c r="AC13" s="38" t="s">
        <v>42</v>
      </c>
      <c r="AD13" s="38" t="s">
        <v>43</v>
      </c>
      <c r="AE13" s="38" t="s">
        <v>43</v>
      </c>
      <c r="AF13" s="38" t="s">
        <v>43</v>
      </c>
      <c r="AG13" s="38" t="str">
        <f t="shared" si="2"/>
        <v>WO</v>
      </c>
      <c r="AH13" s="38" t="s">
        <v>44</v>
      </c>
      <c r="AI13" s="38" t="s">
        <v>43</v>
      </c>
      <c r="AJ13" s="38" t="s">
        <v>43</v>
      </c>
      <c r="AK13" s="38" t="s">
        <v>43</v>
      </c>
      <c r="AL13" s="38" t="s">
        <v>43</v>
      </c>
      <c r="AM13" s="38"/>
      <c r="AN13" s="38"/>
      <c r="AO13" s="39"/>
      <c r="AP13" s="50"/>
      <c r="AQ13" s="53"/>
      <c r="AR13" s="19">
        <v>5</v>
      </c>
      <c r="AS13" s="19">
        <v>1005</v>
      </c>
      <c r="AT13" s="19" t="str">
        <f t="shared" si="3"/>
        <v>February</v>
      </c>
      <c r="AU13" s="19" t="s">
        <v>7</v>
      </c>
      <c r="AV13" s="27">
        <f t="shared" si="4"/>
        <v>22</v>
      </c>
      <c r="AW13" s="22">
        <f t="shared" si="5"/>
        <v>1</v>
      </c>
      <c r="AX13" s="22">
        <f t="shared" si="6"/>
        <v>2</v>
      </c>
      <c r="AY13" s="22">
        <f t="shared" si="7"/>
        <v>4</v>
      </c>
      <c r="AZ13" s="22">
        <f t="shared" si="8"/>
        <v>28</v>
      </c>
      <c r="BA13" s="22">
        <f>Feb_Month[[#This Row],[Days]]-Feb_Month[[#This Row],[Absent]]</f>
        <v>27</v>
      </c>
      <c r="BB13" s="23">
        <v>45000</v>
      </c>
      <c r="BC13" s="23">
        <f>Feb_Month[[#This Row],[Salary]]/Feb_Month[[#This Row],[Days]]</f>
        <v>1607.1428571428571</v>
      </c>
      <c r="BD13" s="24">
        <f>Feb_Month[[#This Row],[PerDay Salary]]*Feb_Month[[#This Row],[Absent]]</f>
        <v>1607.1428571428571</v>
      </c>
      <c r="BE13" s="23">
        <f>Feb_Month[[#This Row],[Salary]]-Feb_Month[[#This Row],[Deduction]]</f>
        <v>43392.857142857145</v>
      </c>
      <c r="BF13" s="22"/>
      <c r="BG13" s="53"/>
    </row>
    <row r="14" spans="1:59" ht="15.75" x14ac:dyDescent="0.25">
      <c r="A14" s="47"/>
      <c r="B14" s="47"/>
      <c r="C14" s="47"/>
      <c r="D14" s="48"/>
      <c r="F14" s="50"/>
      <c r="G14" s="3">
        <v>6</v>
      </c>
      <c r="H14" s="4">
        <v>1006</v>
      </c>
      <c r="I14" s="5" t="s">
        <v>8</v>
      </c>
      <c r="J14" s="37">
        <f t="shared" si="9"/>
        <v>4</v>
      </c>
      <c r="K14" s="38" t="s">
        <v>43</v>
      </c>
      <c r="L14" s="38" t="str">
        <f t="shared" si="2"/>
        <v>WO</v>
      </c>
      <c r="M14" s="38" t="s">
        <v>43</v>
      </c>
      <c r="N14" s="38" t="s">
        <v>43</v>
      </c>
      <c r="O14" s="38" t="s">
        <v>43</v>
      </c>
      <c r="P14" s="38" t="s">
        <v>42</v>
      </c>
      <c r="Q14" s="38" t="s">
        <v>43</v>
      </c>
      <c r="R14" s="38" t="s">
        <v>43</v>
      </c>
      <c r="S14" s="38" t="s">
        <v>43</v>
      </c>
      <c r="T14" s="38" t="s">
        <v>43</v>
      </c>
      <c r="U14" s="38" t="s">
        <v>43</v>
      </c>
      <c r="V14" s="38" t="s">
        <v>43</v>
      </c>
      <c r="W14" s="38" t="s">
        <v>43</v>
      </c>
      <c r="X14" s="38" t="s">
        <v>43</v>
      </c>
      <c r="Y14" s="38" t="s">
        <v>43</v>
      </c>
      <c r="Z14" s="38" t="str">
        <f t="shared" si="2"/>
        <v>WO</v>
      </c>
      <c r="AA14" s="38" t="s">
        <v>43</v>
      </c>
      <c r="AB14" s="38" t="s">
        <v>43</v>
      </c>
      <c r="AC14" s="38" t="s">
        <v>42</v>
      </c>
      <c r="AD14" s="38" t="s">
        <v>43</v>
      </c>
      <c r="AE14" s="38" t="s">
        <v>43</v>
      </c>
      <c r="AF14" s="38" t="s">
        <v>43</v>
      </c>
      <c r="AG14" s="38" t="str">
        <f t="shared" si="2"/>
        <v>WO</v>
      </c>
      <c r="AH14" s="38" t="s">
        <v>43</v>
      </c>
      <c r="AI14" s="38" t="s">
        <v>43</v>
      </c>
      <c r="AJ14" s="38" t="s">
        <v>43</v>
      </c>
      <c r="AK14" s="38" t="s">
        <v>43</v>
      </c>
      <c r="AL14" s="38" t="s">
        <v>43</v>
      </c>
      <c r="AM14" s="38"/>
      <c r="AN14" s="38"/>
      <c r="AO14" s="39"/>
      <c r="AP14" s="50"/>
      <c r="AQ14" s="53"/>
      <c r="AR14" s="19">
        <v>6</v>
      </c>
      <c r="AS14" s="19">
        <v>1006</v>
      </c>
      <c r="AT14" s="19" t="str">
        <f t="shared" si="3"/>
        <v>February</v>
      </c>
      <c r="AU14" s="19" t="s">
        <v>8</v>
      </c>
      <c r="AV14" s="27">
        <f t="shared" si="4"/>
        <v>23</v>
      </c>
      <c r="AW14" s="22">
        <f t="shared" si="5"/>
        <v>0</v>
      </c>
      <c r="AX14" s="22">
        <f t="shared" si="6"/>
        <v>2</v>
      </c>
      <c r="AY14" s="22">
        <f t="shared" si="7"/>
        <v>4</v>
      </c>
      <c r="AZ14" s="22">
        <f t="shared" si="8"/>
        <v>28</v>
      </c>
      <c r="BA14" s="22">
        <f>Feb_Month[[#This Row],[Days]]-Feb_Month[[#This Row],[Absent]]</f>
        <v>28</v>
      </c>
      <c r="BB14" s="23">
        <v>15000</v>
      </c>
      <c r="BC14" s="23">
        <f>Feb_Month[[#This Row],[Salary]]/Feb_Month[[#This Row],[Days]]</f>
        <v>535.71428571428567</v>
      </c>
      <c r="BD14" s="24">
        <f>Feb_Month[[#This Row],[PerDay Salary]]*Feb_Month[[#This Row],[Absent]]</f>
        <v>0</v>
      </c>
      <c r="BE14" s="23">
        <f>Feb_Month[[#This Row],[Salary]]-Feb_Month[[#This Row],[Deduction]]</f>
        <v>15000</v>
      </c>
      <c r="BF14" s="22"/>
      <c r="BG14" s="53"/>
    </row>
    <row r="15" spans="1:59" ht="15.75" x14ac:dyDescent="0.25">
      <c r="A15" s="47"/>
      <c r="B15" s="47"/>
      <c r="C15" s="47"/>
      <c r="D15" s="48"/>
      <c r="F15" s="50"/>
      <c r="G15" s="3">
        <v>7</v>
      </c>
      <c r="H15" s="4">
        <v>1007</v>
      </c>
      <c r="I15" s="5" t="s">
        <v>9</v>
      </c>
      <c r="J15" s="37">
        <f t="shared" si="9"/>
        <v>4</v>
      </c>
      <c r="K15" s="38" t="s">
        <v>43</v>
      </c>
      <c r="L15" s="38" t="str">
        <f t="shared" si="2"/>
        <v>WO</v>
      </c>
      <c r="M15" s="38" t="s">
        <v>44</v>
      </c>
      <c r="N15" s="38" t="s">
        <v>43</v>
      </c>
      <c r="O15" s="38" t="s">
        <v>43</v>
      </c>
      <c r="P15" s="38" t="s">
        <v>42</v>
      </c>
      <c r="Q15" s="38" t="s">
        <v>43</v>
      </c>
      <c r="R15" s="38" t="s">
        <v>43</v>
      </c>
      <c r="S15" s="38" t="s">
        <v>43</v>
      </c>
      <c r="T15" s="38" t="s">
        <v>43</v>
      </c>
      <c r="U15" s="38" t="s">
        <v>43</v>
      </c>
      <c r="V15" s="38" t="s">
        <v>43</v>
      </c>
      <c r="W15" s="38" t="s">
        <v>43</v>
      </c>
      <c r="X15" s="38" t="s">
        <v>43</v>
      </c>
      <c r="Y15" s="38" t="s">
        <v>43</v>
      </c>
      <c r="Z15" s="38" t="str">
        <f t="shared" si="2"/>
        <v>WO</v>
      </c>
      <c r="AA15" s="38" t="s">
        <v>43</v>
      </c>
      <c r="AB15" s="38" t="s">
        <v>43</v>
      </c>
      <c r="AC15" s="38" t="s">
        <v>42</v>
      </c>
      <c r="AD15" s="38" t="s">
        <v>43</v>
      </c>
      <c r="AE15" s="38" t="s">
        <v>43</v>
      </c>
      <c r="AF15" s="38" t="s">
        <v>43</v>
      </c>
      <c r="AG15" s="38" t="str">
        <f t="shared" si="2"/>
        <v>WO</v>
      </c>
      <c r="AH15" s="38" t="s">
        <v>43</v>
      </c>
      <c r="AI15" s="38" t="s">
        <v>43</v>
      </c>
      <c r="AJ15" s="38" t="s">
        <v>43</v>
      </c>
      <c r="AK15" s="38" t="s">
        <v>43</v>
      </c>
      <c r="AL15" s="38" t="s">
        <v>43</v>
      </c>
      <c r="AM15" s="38"/>
      <c r="AN15" s="38"/>
      <c r="AO15" s="39"/>
      <c r="AP15" s="50"/>
      <c r="AQ15" s="53"/>
      <c r="AR15" s="19">
        <v>7</v>
      </c>
      <c r="AS15" s="19">
        <v>1007</v>
      </c>
      <c r="AT15" s="19" t="str">
        <f t="shared" si="3"/>
        <v>February</v>
      </c>
      <c r="AU15" s="19" t="s">
        <v>9</v>
      </c>
      <c r="AV15" s="27">
        <f t="shared" si="4"/>
        <v>22</v>
      </c>
      <c r="AW15" s="22">
        <f t="shared" si="5"/>
        <v>1</v>
      </c>
      <c r="AX15" s="22">
        <f t="shared" si="6"/>
        <v>2</v>
      </c>
      <c r="AY15" s="22">
        <f t="shared" si="7"/>
        <v>4</v>
      </c>
      <c r="AZ15" s="22">
        <f t="shared" si="8"/>
        <v>28</v>
      </c>
      <c r="BA15" s="22">
        <f>Feb_Month[[#This Row],[Days]]-Feb_Month[[#This Row],[Absent]]</f>
        <v>27</v>
      </c>
      <c r="BB15" s="23">
        <v>62000</v>
      </c>
      <c r="BC15" s="23">
        <f>Feb_Month[[#This Row],[Salary]]/Feb_Month[[#This Row],[Days]]</f>
        <v>2214.2857142857142</v>
      </c>
      <c r="BD15" s="24">
        <f>Feb_Month[[#This Row],[PerDay Salary]]*Feb_Month[[#This Row],[Absent]]</f>
        <v>2214.2857142857142</v>
      </c>
      <c r="BE15" s="23">
        <f>Feb_Month[[#This Row],[Salary]]-Feb_Month[[#This Row],[Deduction]]</f>
        <v>59785.714285714283</v>
      </c>
      <c r="BF15" s="22"/>
      <c r="BG15" s="53"/>
    </row>
    <row r="16" spans="1:59" ht="15.75" x14ac:dyDescent="0.25">
      <c r="A16" s="47"/>
      <c r="B16" s="47"/>
      <c r="C16" s="47"/>
      <c r="D16" s="48"/>
      <c r="F16" s="50"/>
      <c r="G16" s="3">
        <v>8</v>
      </c>
      <c r="H16" s="4">
        <v>1008</v>
      </c>
      <c r="I16" s="5" t="s">
        <v>10</v>
      </c>
      <c r="J16" s="37">
        <f t="shared" si="9"/>
        <v>4</v>
      </c>
      <c r="K16" s="38" t="s">
        <v>43</v>
      </c>
      <c r="L16" s="38" t="str">
        <f t="shared" si="2"/>
        <v>WO</v>
      </c>
      <c r="M16" s="38" t="s">
        <v>43</v>
      </c>
      <c r="N16" s="38" t="s">
        <v>43</v>
      </c>
      <c r="O16" s="38" t="s">
        <v>43</v>
      </c>
      <c r="P16" s="38" t="s">
        <v>42</v>
      </c>
      <c r="Q16" s="38" t="s">
        <v>43</v>
      </c>
      <c r="R16" s="38" t="s">
        <v>43</v>
      </c>
      <c r="S16" s="38" t="s">
        <v>43</v>
      </c>
      <c r="T16" s="38" t="s">
        <v>43</v>
      </c>
      <c r="U16" s="38" t="s">
        <v>43</v>
      </c>
      <c r="V16" s="38" t="s">
        <v>43</v>
      </c>
      <c r="W16" s="38" t="s">
        <v>43</v>
      </c>
      <c r="X16" s="38" t="s">
        <v>43</v>
      </c>
      <c r="Y16" s="38" t="s">
        <v>43</v>
      </c>
      <c r="Z16" s="38" t="str">
        <f t="shared" si="2"/>
        <v>WO</v>
      </c>
      <c r="AA16" s="38" t="s">
        <v>43</v>
      </c>
      <c r="AB16" s="38" t="s">
        <v>43</v>
      </c>
      <c r="AC16" s="38" t="s">
        <v>42</v>
      </c>
      <c r="AD16" s="38" t="s">
        <v>43</v>
      </c>
      <c r="AE16" s="38" t="s">
        <v>43</v>
      </c>
      <c r="AF16" s="38" t="s">
        <v>43</v>
      </c>
      <c r="AG16" s="38" t="str">
        <f t="shared" si="2"/>
        <v>WO</v>
      </c>
      <c r="AH16" s="38" t="s">
        <v>43</v>
      </c>
      <c r="AI16" s="38" t="s">
        <v>43</v>
      </c>
      <c r="AJ16" s="38" t="s">
        <v>43</v>
      </c>
      <c r="AK16" s="38" t="s">
        <v>43</v>
      </c>
      <c r="AL16" s="38" t="s">
        <v>43</v>
      </c>
      <c r="AM16" s="38"/>
      <c r="AN16" s="38"/>
      <c r="AO16" s="39"/>
      <c r="AP16" s="50"/>
      <c r="AQ16" s="53"/>
      <c r="AR16" s="19">
        <v>8</v>
      </c>
      <c r="AS16" s="19">
        <v>1008</v>
      </c>
      <c r="AT16" s="19" t="str">
        <f t="shared" si="3"/>
        <v>February</v>
      </c>
      <c r="AU16" s="19" t="s">
        <v>10</v>
      </c>
      <c r="AV16" s="27">
        <f t="shared" si="4"/>
        <v>23</v>
      </c>
      <c r="AW16" s="22">
        <f t="shared" si="5"/>
        <v>0</v>
      </c>
      <c r="AX16" s="22">
        <f t="shared" si="6"/>
        <v>2</v>
      </c>
      <c r="AY16" s="22">
        <f t="shared" si="7"/>
        <v>4</v>
      </c>
      <c r="AZ16" s="22">
        <f t="shared" si="8"/>
        <v>28</v>
      </c>
      <c r="BA16" s="22">
        <f>Feb_Month[[#This Row],[Days]]-Feb_Month[[#This Row],[Absent]]</f>
        <v>28</v>
      </c>
      <c r="BB16" s="23">
        <v>50000</v>
      </c>
      <c r="BC16" s="23">
        <f>Feb_Month[[#This Row],[Salary]]/Feb_Month[[#This Row],[Days]]</f>
        <v>1785.7142857142858</v>
      </c>
      <c r="BD16" s="24">
        <f>Feb_Month[[#This Row],[PerDay Salary]]*Feb_Month[[#This Row],[Absent]]</f>
        <v>0</v>
      </c>
      <c r="BE16" s="23">
        <f>Feb_Month[[#This Row],[Salary]]-Feb_Month[[#This Row],[Deduction]]</f>
        <v>50000</v>
      </c>
      <c r="BF16" s="22"/>
      <c r="BG16" s="53"/>
    </row>
    <row r="17" spans="1:59" ht="15.75" x14ac:dyDescent="0.25">
      <c r="A17" s="47"/>
      <c r="B17" s="47"/>
      <c r="C17" s="47"/>
      <c r="D17" s="48"/>
      <c r="F17" s="50"/>
      <c r="G17" s="3">
        <v>9</v>
      </c>
      <c r="H17" s="4">
        <v>1009</v>
      </c>
      <c r="I17" s="5" t="s">
        <v>11</v>
      </c>
      <c r="J17" s="37">
        <f t="shared" si="9"/>
        <v>4</v>
      </c>
      <c r="K17" s="38" t="s">
        <v>43</v>
      </c>
      <c r="L17" s="38" t="str">
        <f t="shared" si="2"/>
        <v>WO</v>
      </c>
      <c r="M17" s="38" t="s">
        <v>43</v>
      </c>
      <c r="N17" s="38" t="s">
        <v>43</v>
      </c>
      <c r="O17" s="38" t="s">
        <v>43</v>
      </c>
      <c r="P17" s="38" t="s">
        <v>42</v>
      </c>
      <c r="Q17" s="38" t="s">
        <v>43</v>
      </c>
      <c r="R17" s="38" t="s">
        <v>43</v>
      </c>
      <c r="S17" s="38" t="s">
        <v>43</v>
      </c>
      <c r="T17" s="38" t="s">
        <v>43</v>
      </c>
      <c r="U17" s="38" t="s">
        <v>43</v>
      </c>
      <c r="V17" s="38" t="s">
        <v>43</v>
      </c>
      <c r="W17" s="38" t="s">
        <v>43</v>
      </c>
      <c r="X17" s="38" t="s">
        <v>43</v>
      </c>
      <c r="Y17" s="38" t="s">
        <v>43</v>
      </c>
      <c r="Z17" s="38" t="str">
        <f t="shared" si="2"/>
        <v>WO</v>
      </c>
      <c r="AA17" s="38" t="s">
        <v>43</v>
      </c>
      <c r="AB17" s="38" t="s">
        <v>43</v>
      </c>
      <c r="AC17" s="38" t="s">
        <v>42</v>
      </c>
      <c r="AD17" s="38" t="s">
        <v>43</v>
      </c>
      <c r="AE17" s="38" t="s">
        <v>43</v>
      </c>
      <c r="AF17" s="38" t="s">
        <v>43</v>
      </c>
      <c r="AG17" s="38" t="str">
        <f t="shared" ref="AG17" si="10">IF(AG$7="Sun","WO","")</f>
        <v>WO</v>
      </c>
      <c r="AH17" s="38" t="s">
        <v>43</v>
      </c>
      <c r="AI17" s="38" t="s">
        <v>43</v>
      </c>
      <c r="AJ17" s="38" t="s">
        <v>44</v>
      </c>
      <c r="AK17" s="38" t="s">
        <v>43</v>
      </c>
      <c r="AL17" s="38" t="s">
        <v>43</v>
      </c>
      <c r="AM17" s="38"/>
      <c r="AN17" s="38"/>
      <c r="AO17" s="39"/>
      <c r="AP17" s="50"/>
      <c r="AQ17" s="53"/>
      <c r="AR17" s="19">
        <v>9</v>
      </c>
      <c r="AS17" s="19">
        <v>1009</v>
      </c>
      <c r="AT17" s="19" t="str">
        <f t="shared" si="3"/>
        <v>February</v>
      </c>
      <c r="AU17" s="19" t="s">
        <v>11</v>
      </c>
      <c r="AV17" s="27">
        <f t="shared" si="4"/>
        <v>22</v>
      </c>
      <c r="AW17" s="22">
        <f t="shared" si="5"/>
        <v>1</v>
      </c>
      <c r="AX17" s="22">
        <f t="shared" si="6"/>
        <v>2</v>
      </c>
      <c r="AY17" s="22">
        <f t="shared" si="7"/>
        <v>4</v>
      </c>
      <c r="AZ17" s="22">
        <f t="shared" si="8"/>
        <v>28</v>
      </c>
      <c r="BA17" s="22">
        <f>Feb_Month[[#This Row],[Days]]-Feb_Month[[#This Row],[Absent]]</f>
        <v>27</v>
      </c>
      <c r="BB17" s="23">
        <v>25000</v>
      </c>
      <c r="BC17" s="23">
        <f>Feb_Month[[#This Row],[Salary]]/Feb_Month[[#This Row],[Days]]</f>
        <v>892.85714285714289</v>
      </c>
      <c r="BD17" s="24">
        <f>Feb_Month[[#This Row],[PerDay Salary]]*Feb_Month[[#This Row],[Absent]]</f>
        <v>892.85714285714289</v>
      </c>
      <c r="BE17" s="23">
        <f>Feb_Month[[#This Row],[Salary]]-Feb_Month[[#This Row],[Deduction]]</f>
        <v>24107.142857142859</v>
      </c>
      <c r="BF17" s="22"/>
      <c r="BG17" s="53"/>
    </row>
    <row r="18" spans="1:59" ht="15.75" x14ac:dyDescent="0.25">
      <c r="A18" s="47"/>
      <c r="B18" s="47"/>
      <c r="C18" s="47"/>
      <c r="D18" s="48"/>
      <c r="F18" s="50"/>
      <c r="G18" s="3">
        <v>10</v>
      </c>
      <c r="H18" s="4">
        <v>1010</v>
      </c>
      <c r="I18" s="5" t="s">
        <v>12</v>
      </c>
      <c r="J18" s="37">
        <f t="shared" si="9"/>
        <v>4</v>
      </c>
      <c r="K18" s="38" t="s">
        <v>43</v>
      </c>
      <c r="L18" s="38" t="str">
        <f t="shared" ref="L18:Z28" si="11">IF(L$7="Sun","WO","")</f>
        <v>WO</v>
      </c>
      <c r="M18" s="38" t="s">
        <v>43</v>
      </c>
      <c r="N18" s="38" t="s">
        <v>43</v>
      </c>
      <c r="O18" s="38" t="s">
        <v>43</v>
      </c>
      <c r="P18" s="38" t="s">
        <v>42</v>
      </c>
      <c r="Q18" s="38" t="s">
        <v>43</v>
      </c>
      <c r="R18" s="38" t="s">
        <v>43</v>
      </c>
      <c r="S18" s="38" t="s">
        <v>43</v>
      </c>
      <c r="T18" s="38" t="s">
        <v>43</v>
      </c>
      <c r="U18" s="38" t="s">
        <v>43</v>
      </c>
      <c r="V18" s="38" t="s">
        <v>43</v>
      </c>
      <c r="W18" s="38" t="s">
        <v>43</v>
      </c>
      <c r="X18" s="38" t="s">
        <v>43</v>
      </c>
      <c r="Y18" s="38" t="s">
        <v>43</v>
      </c>
      <c r="Z18" s="38" t="str">
        <f t="shared" si="11"/>
        <v>WO</v>
      </c>
      <c r="AA18" s="38" t="s">
        <v>43</v>
      </c>
      <c r="AB18" s="38" t="s">
        <v>43</v>
      </c>
      <c r="AC18" s="38" t="s">
        <v>42</v>
      </c>
      <c r="AD18" s="38" t="s">
        <v>43</v>
      </c>
      <c r="AE18" s="38" t="s">
        <v>43</v>
      </c>
      <c r="AF18" s="38" t="s">
        <v>43</v>
      </c>
      <c r="AG18" s="38" t="str">
        <f t="shared" ref="AG18:AG28" si="12">IF(AG$7="Sun","WO","")</f>
        <v>WO</v>
      </c>
      <c r="AH18" s="38" t="s">
        <v>43</v>
      </c>
      <c r="AI18" s="38" t="s">
        <v>43</v>
      </c>
      <c r="AJ18" s="38" t="s">
        <v>43</v>
      </c>
      <c r="AK18" s="38" t="s">
        <v>43</v>
      </c>
      <c r="AL18" s="38" t="s">
        <v>43</v>
      </c>
      <c r="AM18" s="38"/>
      <c r="AN18" s="38"/>
      <c r="AO18" s="39"/>
      <c r="AP18" s="50"/>
      <c r="AQ18" s="53"/>
      <c r="AR18" s="19">
        <v>10</v>
      </c>
      <c r="AS18" s="19">
        <v>1010</v>
      </c>
      <c r="AT18" s="19" t="str">
        <f t="shared" si="3"/>
        <v>February</v>
      </c>
      <c r="AU18" s="19" t="s">
        <v>12</v>
      </c>
      <c r="AV18" s="27">
        <f t="shared" si="4"/>
        <v>23</v>
      </c>
      <c r="AW18" s="22">
        <f t="shared" si="5"/>
        <v>0</v>
      </c>
      <c r="AX18" s="22">
        <f t="shared" si="6"/>
        <v>2</v>
      </c>
      <c r="AY18" s="22">
        <f t="shared" si="7"/>
        <v>4</v>
      </c>
      <c r="AZ18" s="22">
        <f t="shared" si="8"/>
        <v>28</v>
      </c>
      <c r="BA18" s="22">
        <f>Feb_Month[[#This Row],[Days]]-Feb_Month[[#This Row],[Absent]]</f>
        <v>28</v>
      </c>
      <c r="BB18" s="23">
        <v>45000</v>
      </c>
      <c r="BC18" s="23">
        <f>Feb_Month[[#This Row],[Salary]]/Feb_Month[[#This Row],[Days]]</f>
        <v>1607.1428571428571</v>
      </c>
      <c r="BD18" s="24">
        <f>Feb_Month[[#This Row],[PerDay Salary]]*Feb_Month[[#This Row],[Absent]]</f>
        <v>0</v>
      </c>
      <c r="BE18" s="23">
        <f>Feb_Month[[#This Row],[Salary]]-Feb_Month[[#This Row],[Deduction]]</f>
        <v>45000</v>
      </c>
      <c r="BF18" s="22"/>
      <c r="BG18" s="53"/>
    </row>
    <row r="19" spans="1:59" ht="15.75" x14ac:dyDescent="0.25">
      <c r="A19" s="47"/>
      <c r="B19" s="47"/>
      <c r="C19" s="47"/>
      <c r="D19" s="48"/>
      <c r="F19" s="50"/>
      <c r="G19" s="3">
        <v>11</v>
      </c>
      <c r="H19" s="4">
        <v>1011</v>
      </c>
      <c r="I19" s="5" t="s">
        <v>13</v>
      </c>
      <c r="J19" s="37">
        <f t="shared" si="9"/>
        <v>4</v>
      </c>
      <c r="K19" s="38" t="s">
        <v>43</v>
      </c>
      <c r="L19" s="38" t="str">
        <f t="shared" si="11"/>
        <v>WO</v>
      </c>
      <c r="M19" s="38" t="s">
        <v>43</v>
      </c>
      <c r="N19" s="38" t="s">
        <v>43</v>
      </c>
      <c r="O19" s="38" t="s">
        <v>43</v>
      </c>
      <c r="P19" s="38" t="s">
        <v>42</v>
      </c>
      <c r="Q19" s="38" t="s">
        <v>43</v>
      </c>
      <c r="R19" s="38" t="s">
        <v>43</v>
      </c>
      <c r="S19" s="38" t="s">
        <v>43</v>
      </c>
      <c r="T19" s="38" t="s">
        <v>43</v>
      </c>
      <c r="U19" s="38" t="s">
        <v>43</v>
      </c>
      <c r="V19" s="38" t="s">
        <v>43</v>
      </c>
      <c r="W19" s="38" t="s">
        <v>43</v>
      </c>
      <c r="X19" s="38" t="s">
        <v>43</v>
      </c>
      <c r="Y19" s="38" t="s">
        <v>43</v>
      </c>
      <c r="Z19" s="38" t="str">
        <f t="shared" si="11"/>
        <v>WO</v>
      </c>
      <c r="AA19" s="38" t="s">
        <v>43</v>
      </c>
      <c r="AB19" s="38" t="s">
        <v>43</v>
      </c>
      <c r="AC19" s="38" t="s">
        <v>42</v>
      </c>
      <c r="AD19" s="38" t="s">
        <v>43</v>
      </c>
      <c r="AE19" s="38" t="s">
        <v>43</v>
      </c>
      <c r="AF19" s="38" t="s">
        <v>43</v>
      </c>
      <c r="AG19" s="38" t="str">
        <f t="shared" si="12"/>
        <v>WO</v>
      </c>
      <c r="AH19" s="38" t="s">
        <v>43</v>
      </c>
      <c r="AI19" s="38" t="s">
        <v>43</v>
      </c>
      <c r="AJ19" s="38" t="s">
        <v>43</v>
      </c>
      <c r="AK19" s="38" t="s">
        <v>43</v>
      </c>
      <c r="AL19" s="38" t="s">
        <v>43</v>
      </c>
      <c r="AM19" s="38"/>
      <c r="AN19" s="38"/>
      <c r="AO19" s="39"/>
      <c r="AP19" s="50"/>
      <c r="AQ19" s="53"/>
      <c r="AR19" s="19">
        <v>11</v>
      </c>
      <c r="AS19" s="19">
        <v>1011</v>
      </c>
      <c r="AT19" s="19" t="str">
        <f t="shared" si="3"/>
        <v>February</v>
      </c>
      <c r="AU19" s="19" t="s">
        <v>13</v>
      </c>
      <c r="AV19" s="27">
        <f t="shared" si="4"/>
        <v>23</v>
      </c>
      <c r="AW19" s="22">
        <f t="shared" si="5"/>
        <v>0</v>
      </c>
      <c r="AX19" s="22">
        <f t="shared" si="6"/>
        <v>2</v>
      </c>
      <c r="AY19" s="22">
        <f t="shared" si="7"/>
        <v>4</v>
      </c>
      <c r="AZ19" s="22">
        <f t="shared" si="8"/>
        <v>28</v>
      </c>
      <c r="BA19" s="22">
        <f>Feb_Month[[#This Row],[Days]]-Feb_Month[[#This Row],[Absent]]</f>
        <v>28</v>
      </c>
      <c r="BB19" s="23">
        <v>48000</v>
      </c>
      <c r="BC19" s="23">
        <f>Feb_Month[[#This Row],[Salary]]/Feb_Month[[#This Row],[Days]]</f>
        <v>1714.2857142857142</v>
      </c>
      <c r="BD19" s="24">
        <f>Feb_Month[[#This Row],[PerDay Salary]]*Feb_Month[[#This Row],[Absent]]</f>
        <v>0</v>
      </c>
      <c r="BE19" s="23">
        <f>Feb_Month[[#This Row],[Salary]]-Feb_Month[[#This Row],[Deduction]]</f>
        <v>48000</v>
      </c>
      <c r="BF19" s="22"/>
      <c r="BG19" s="53"/>
    </row>
    <row r="20" spans="1:59" ht="15.75" x14ac:dyDescent="0.25">
      <c r="A20" s="47"/>
      <c r="B20" s="47"/>
      <c r="C20" s="47"/>
      <c r="D20" s="48"/>
      <c r="F20" s="50"/>
      <c r="G20" s="3">
        <v>12</v>
      </c>
      <c r="H20" s="4">
        <v>1012</v>
      </c>
      <c r="I20" s="5" t="s">
        <v>14</v>
      </c>
      <c r="J20" s="37">
        <f t="shared" si="9"/>
        <v>4</v>
      </c>
      <c r="K20" s="38" t="s">
        <v>43</v>
      </c>
      <c r="L20" s="38" t="str">
        <f t="shared" si="11"/>
        <v>WO</v>
      </c>
      <c r="M20" s="38" t="s">
        <v>43</v>
      </c>
      <c r="N20" s="38" t="s">
        <v>43</v>
      </c>
      <c r="O20" s="38" t="s">
        <v>43</v>
      </c>
      <c r="P20" s="38" t="s">
        <v>42</v>
      </c>
      <c r="Q20" s="38" t="s">
        <v>44</v>
      </c>
      <c r="R20" s="38" t="s">
        <v>43</v>
      </c>
      <c r="S20" s="38" t="s">
        <v>43</v>
      </c>
      <c r="T20" s="38" t="s">
        <v>43</v>
      </c>
      <c r="U20" s="38" t="s">
        <v>43</v>
      </c>
      <c r="V20" s="38" t="s">
        <v>43</v>
      </c>
      <c r="W20" s="38" t="s">
        <v>43</v>
      </c>
      <c r="X20" s="38" t="s">
        <v>43</v>
      </c>
      <c r="Y20" s="38" t="s">
        <v>43</v>
      </c>
      <c r="Z20" s="38" t="str">
        <f t="shared" si="11"/>
        <v>WO</v>
      </c>
      <c r="AA20" s="38" t="s">
        <v>43</v>
      </c>
      <c r="AB20" s="38" t="s">
        <v>43</v>
      </c>
      <c r="AC20" s="38" t="s">
        <v>42</v>
      </c>
      <c r="AD20" s="38" t="s">
        <v>43</v>
      </c>
      <c r="AE20" s="38" t="s">
        <v>43</v>
      </c>
      <c r="AF20" s="38" t="s">
        <v>43</v>
      </c>
      <c r="AG20" s="38" t="str">
        <f t="shared" si="12"/>
        <v>WO</v>
      </c>
      <c r="AH20" s="38" t="s">
        <v>43</v>
      </c>
      <c r="AI20" s="38" t="s">
        <v>43</v>
      </c>
      <c r="AJ20" s="38" t="s">
        <v>43</v>
      </c>
      <c r="AK20" s="38" t="s">
        <v>43</v>
      </c>
      <c r="AL20" s="38" t="s">
        <v>43</v>
      </c>
      <c r="AM20" s="38"/>
      <c r="AN20" s="38"/>
      <c r="AO20" s="39"/>
      <c r="AP20" s="50"/>
      <c r="AQ20" s="53"/>
      <c r="AR20" s="19">
        <v>12</v>
      </c>
      <c r="AS20" s="19">
        <v>1012</v>
      </c>
      <c r="AT20" s="19" t="str">
        <f t="shared" si="3"/>
        <v>February</v>
      </c>
      <c r="AU20" s="19" t="s">
        <v>14</v>
      </c>
      <c r="AV20" s="27">
        <f t="shared" si="4"/>
        <v>22</v>
      </c>
      <c r="AW20" s="22">
        <f t="shared" si="5"/>
        <v>1</v>
      </c>
      <c r="AX20" s="22">
        <f t="shared" si="6"/>
        <v>2</v>
      </c>
      <c r="AY20" s="22">
        <f t="shared" si="7"/>
        <v>4</v>
      </c>
      <c r="AZ20" s="22">
        <f t="shared" si="8"/>
        <v>28</v>
      </c>
      <c r="BA20" s="22">
        <f>Feb_Month[[#This Row],[Days]]-Feb_Month[[#This Row],[Absent]]</f>
        <v>27</v>
      </c>
      <c r="BB20" s="23">
        <v>52000</v>
      </c>
      <c r="BC20" s="23">
        <f>Feb_Month[[#This Row],[Salary]]/Feb_Month[[#This Row],[Days]]</f>
        <v>1857.1428571428571</v>
      </c>
      <c r="BD20" s="24">
        <f>Feb_Month[[#This Row],[PerDay Salary]]*Feb_Month[[#This Row],[Absent]]</f>
        <v>1857.1428571428571</v>
      </c>
      <c r="BE20" s="23">
        <f>Feb_Month[[#This Row],[Salary]]-Feb_Month[[#This Row],[Deduction]]</f>
        <v>50142.857142857145</v>
      </c>
      <c r="BF20" s="22"/>
      <c r="BG20" s="53"/>
    </row>
    <row r="21" spans="1:59" ht="15.75" x14ac:dyDescent="0.25">
      <c r="A21" s="47"/>
      <c r="B21" s="47"/>
      <c r="C21" s="47"/>
      <c r="D21" s="48"/>
      <c r="F21" s="50"/>
      <c r="G21" s="3">
        <v>13</v>
      </c>
      <c r="H21" s="4">
        <v>1013</v>
      </c>
      <c r="I21" s="5" t="s">
        <v>15</v>
      </c>
      <c r="J21" s="37">
        <f t="shared" si="9"/>
        <v>4</v>
      </c>
      <c r="K21" s="38" t="s">
        <v>43</v>
      </c>
      <c r="L21" s="38" t="str">
        <f t="shared" si="11"/>
        <v>WO</v>
      </c>
      <c r="M21" s="38" t="s">
        <v>43</v>
      </c>
      <c r="N21" s="38" t="s">
        <v>43</v>
      </c>
      <c r="O21" s="38" t="s">
        <v>43</v>
      </c>
      <c r="P21" s="38" t="s">
        <v>42</v>
      </c>
      <c r="Q21" s="38" t="s">
        <v>43</v>
      </c>
      <c r="R21" s="38" t="s">
        <v>43</v>
      </c>
      <c r="S21" s="38" t="s">
        <v>43</v>
      </c>
      <c r="T21" s="38" t="s">
        <v>43</v>
      </c>
      <c r="U21" s="38" t="s">
        <v>43</v>
      </c>
      <c r="V21" s="38" t="s">
        <v>43</v>
      </c>
      <c r="W21" s="38" t="s">
        <v>43</v>
      </c>
      <c r="X21" s="38" t="s">
        <v>43</v>
      </c>
      <c r="Y21" s="38" t="s">
        <v>43</v>
      </c>
      <c r="Z21" s="38" t="str">
        <f t="shared" si="11"/>
        <v>WO</v>
      </c>
      <c r="AA21" s="38" t="s">
        <v>43</v>
      </c>
      <c r="AB21" s="38" t="s">
        <v>43</v>
      </c>
      <c r="AC21" s="38" t="s">
        <v>42</v>
      </c>
      <c r="AD21" s="38" t="s">
        <v>43</v>
      </c>
      <c r="AE21" s="38" t="s">
        <v>43</v>
      </c>
      <c r="AF21" s="38" t="s">
        <v>43</v>
      </c>
      <c r="AG21" s="38" t="str">
        <f t="shared" si="12"/>
        <v>WO</v>
      </c>
      <c r="AH21" s="38" t="s">
        <v>43</v>
      </c>
      <c r="AI21" s="38" t="s">
        <v>43</v>
      </c>
      <c r="AJ21" s="38" t="s">
        <v>43</v>
      </c>
      <c r="AK21" s="38" t="s">
        <v>43</v>
      </c>
      <c r="AL21" s="38" t="s">
        <v>43</v>
      </c>
      <c r="AM21" s="38"/>
      <c r="AN21" s="38"/>
      <c r="AO21" s="39"/>
      <c r="AP21" s="50"/>
      <c r="AQ21" s="53"/>
      <c r="AR21" s="19">
        <v>13</v>
      </c>
      <c r="AS21" s="19">
        <v>1013</v>
      </c>
      <c r="AT21" s="19" t="str">
        <f t="shared" si="3"/>
        <v>February</v>
      </c>
      <c r="AU21" s="19" t="s">
        <v>15</v>
      </c>
      <c r="AV21" s="27">
        <f t="shared" si="4"/>
        <v>23</v>
      </c>
      <c r="AW21" s="22">
        <f t="shared" si="5"/>
        <v>0</v>
      </c>
      <c r="AX21" s="22">
        <f t="shared" si="6"/>
        <v>2</v>
      </c>
      <c r="AY21" s="22">
        <f t="shared" si="7"/>
        <v>4</v>
      </c>
      <c r="AZ21" s="22">
        <f t="shared" si="8"/>
        <v>28</v>
      </c>
      <c r="BA21" s="22">
        <f>Feb_Month[[#This Row],[Days]]-Feb_Month[[#This Row],[Absent]]</f>
        <v>28</v>
      </c>
      <c r="BB21" s="23">
        <v>42000</v>
      </c>
      <c r="BC21" s="23">
        <f>Feb_Month[[#This Row],[Salary]]/Feb_Month[[#This Row],[Days]]</f>
        <v>1500</v>
      </c>
      <c r="BD21" s="24">
        <f>Feb_Month[[#This Row],[PerDay Salary]]*Feb_Month[[#This Row],[Absent]]</f>
        <v>0</v>
      </c>
      <c r="BE21" s="23">
        <f>Feb_Month[[#This Row],[Salary]]-Feb_Month[[#This Row],[Deduction]]</f>
        <v>42000</v>
      </c>
      <c r="BF21" s="22"/>
      <c r="BG21" s="53"/>
    </row>
    <row r="22" spans="1:59" ht="15.75" x14ac:dyDescent="0.25">
      <c r="A22" s="47"/>
      <c r="B22" s="47"/>
      <c r="C22" s="47"/>
      <c r="D22" s="48"/>
      <c r="F22" s="50"/>
      <c r="G22" s="3">
        <v>14</v>
      </c>
      <c r="H22" s="4">
        <v>1014</v>
      </c>
      <c r="I22" s="5" t="s">
        <v>16</v>
      </c>
      <c r="J22" s="37">
        <f t="shared" si="9"/>
        <v>4</v>
      </c>
      <c r="K22" s="38" t="s">
        <v>43</v>
      </c>
      <c r="L22" s="38" t="str">
        <f t="shared" si="11"/>
        <v>WO</v>
      </c>
      <c r="M22" s="38" t="s">
        <v>44</v>
      </c>
      <c r="N22" s="38" t="s">
        <v>44</v>
      </c>
      <c r="O22" s="38" t="s">
        <v>44</v>
      </c>
      <c r="P22" s="38" t="s">
        <v>42</v>
      </c>
      <c r="Q22" s="38" t="s">
        <v>43</v>
      </c>
      <c r="R22" s="38" t="s">
        <v>43</v>
      </c>
      <c r="S22" s="38" t="s">
        <v>43</v>
      </c>
      <c r="T22" s="38" t="s">
        <v>43</v>
      </c>
      <c r="U22" s="38" t="s">
        <v>43</v>
      </c>
      <c r="V22" s="38" t="s">
        <v>43</v>
      </c>
      <c r="W22" s="38" t="s">
        <v>43</v>
      </c>
      <c r="X22" s="38" t="s">
        <v>43</v>
      </c>
      <c r="Y22" s="38" t="s">
        <v>43</v>
      </c>
      <c r="Z22" s="38" t="str">
        <f t="shared" si="11"/>
        <v>WO</v>
      </c>
      <c r="AA22" s="38" t="s">
        <v>43</v>
      </c>
      <c r="AB22" s="38" t="s">
        <v>43</v>
      </c>
      <c r="AC22" s="38" t="s">
        <v>42</v>
      </c>
      <c r="AD22" s="38" t="s">
        <v>43</v>
      </c>
      <c r="AE22" s="38" t="s">
        <v>43</v>
      </c>
      <c r="AF22" s="38" t="s">
        <v>43</v>
      </c>
      <c r="AG22" s="38" t="str">
        <f t="shared" si="12"/>
        <v>WO</v>
      </c>
      <c r="AH22" s="38" t="s">
        <v>43</v>
      </c>
      <c r="AI22" s="38" t="s">
        <v>43</v>
      </c>
      <c r="AJ22" s="38" t="s">
        <v>43</v>
      </c>
      <c r="AK22" s="38" t="s">
        <v>43</v>
      </c>
      <c r="AL22" s="38" t="s">
        <v>43</v>
      </c>
      <c r="AM22" s="38"/>
      <c r="AN22" s="38"/>
      <c r="AO22" s="39"/>
      <c r="AP22" s="50"/>
      <c r="AQ22" s="53"/>
      <c r="AR22" s="19">
        <v>14</v>
      </c>
      <c r="AS22" s="19">
        <v>1014</v>
      </c>
      <c r="AT22" s="19" t="str">
        <f t="shared" si="3"/>
        <v>February</v>
      </c>
      <c r="AU22" s="19" t="s">
        <v>16</v>
      </c>
      <c r="AV22" s="27">
        <f t="shared" si="4"/>
        <v>20</v>
      </c>
      <c r="AW22" s="22">
        <f t="shared" si="5"/>
        <v>3</v>
      </c>
      <c r="AX22" s="22">
        <f t="shared" si="6"/>
        <v>2</v>
      </c>
      <c r="AY22" s="22">
        <f t="shared" si="7"/>
        <v>4</v>
      </c>
      <c r="AZ22" s="22">
        <f t="shared" si="8"/>
        <v>28</v>
      </c>
      <c r="BA22" s="22">
        <f>Feb_Month[[#This Row],[Days]]-Feb_Month[[#This Row],[Absent]]</f>
        <v>25</v>
      </c>
      <c r="BB22" s="23">
        <v>15000</v>
      </c>
      <c r="BC22" s="23">
        <f>Feb_Month[[#This Row],[Salary]]/Feb_Month[[#This Row],[Days]]</f>
        <v>535.71428571428567</v>
      </c>
      <c r="BD22" s="24">
        <f>Feb_Month[[#This Row],[PerDay Salary]]*Feb_Month[[#This Row],[Absent]]</f>
        <v>1607.1428571428569</v>
      </c>
      <c r="BE22" s="23">
        <f>Feb_Month[[#This Row],[Salary]]-Feb_Month[[#This Row],[Deduction]]</f>
        <v>13392.857142857143</v>
      </c>
      <c r="BF22" s="22"/>
      <c r="BG22" s="53"/>
    </row>
    <row r="23" spans="1:59" ht="15.75" x14ac:dyDescent="0.25">
      <c r="A23" s="47"/>
      <c r="B23" s="47"/>
      <c r="C23" s="47"/>
      <c r="D23" s="48"/>
      <c r="F23" s="50"/>
      <c r="G23" s="3">
        <v>15</v>
      </c>
      <c r="H23" s="4">
        <v>1015</v>
      </c>
      <c r="I23" s="5" t="s">
        <v>17</v>
      </c>
      <c r="J23" s="37">
        <f t="shared" si="9"/>
        <v>4</v>
      </c>
      <c r="K23" s="38" t="s">
        <v>43</v>
      </c>
      <c r="L23" s="38" t="str">
        <f t="shared" si="11"/>
        <v>WO</v>
      </c>
      <c r="M23" s="38" t="s">
        <v>43</v>
      </c>
      <c r="N23" s="38" t="s">
        <v>43</v>
      </c>
      <c r="O23" s="38" t="s">
        <v>43</v>
      </c>
      <c r="P23" s="38" t="s">
        <v>42</v>
      </c>
      <c r="Q23" s="38" t="s">
        <v>43</v>
      </c>
      <c r="R23" s="38" t="s">
        <v>43</v>
      </c>
      <c r="S23" s="38" t="s">
        <v>43</v>
      </c>
      <c r="T23" s="38" t="s">
        <v>43</v>
      </c>
      <c r="U23" s="38" t="s">
        <v>43</v>
      </c>
      <c r="V23" s="38" t="s">
        <v>43</v>
      </c>
      <c r="W23" s="38" t="s">
        <v>43</v>
      </c>
      <c r="X23" s="38" t="s">
        <v>43</v>
      </c>
      <c r="Y23" s="38" t="s">
        <v>43</v>
      </c>
      <c r="Z23" s="38" t="str">
        <f t="shared" si="11"/>
        <v>WO</v>
      </c>
      <c r="AA23" s="38" t="s">
        <v>43</v>
      </c>
      <c r="AB23" s="38" t="s">
        <v>43</v>
      </c>
      <c r="AC23" s="38" t="s">
        <v>42</v>
      </c>
      <c r="AD23" s="38" t="s">
        <v>43</v>
      </c>
      <c r="AE23" s="38" t="s">
        <v>43</v>
      </c>
      <c r="AF23" s="38" t="s">
        <v>43</v>
      </c>
      <c r="AG23" s="38" t="str">
        <f t="shared" si="12"/>
        <v>WO</v>
      </c>
      <c r="AH23" s="38" t="s">
        <v>43</v>
      </c>
      <c r="AI23" s="38" t="s">
        <v>43</v>
      </c>
      <c r="AJ23" s="38" t="s">
        <v>43</v>
      </c>
      <c r="AK23" s="38" t="s">
        <v>43</v>
      </c>
      <c r="AL23" s="38" t="s">
        <v>44</v>
      </c>
      <c r="AM23" s="38"/>
      <c r="AN23" s="38"/>
      <c r="AO23" s="39"/>
      <c r="AP23" s="50"/>
      <c r="AQ23" s="53"/>
      <c r="AR23" s="19">
        <v>15</v>
      </c>
      <c r="AS23" s="19">
        <v>1015</v>
      </c>
      <c r="AT23" s="19" t="str">
        <f t="shared" si="3"/>
        <v>February</v>
      </c>
      <c r="AU23" s="19" t="s">
        <v>17</v>
      </c>
      <c r="AV23" s="27">
        <f t="shared" si="4"/>
        <v>22</v>
      </c>
      <c r="AW23" s="22">
        <f t="shared" si="5"/>
        <v>1</v>
      </c>
      <c r="AX23" s="22">
        <f t="shared" si="6"/>
        <v>2</v>
      </c>
      <c r="AY23" s="22">
        <f t="shared" si="7"/>
        <v>4</v>
      </c>
      <c r="AZ23" s="22">
        <f t="shared" si="8"/>
        <v>28</v>
      </c>
      <c r="BA23" s="22">
        <f>Feb_Month[[#This Row],[Days]]-Feb_Month[[#This Row],[Absent]]</f>
        <v>27</v>
      </c>
      <c r="BB23" s="23">
        <v>46000</v>
      </c>
      <c r="BC23" s="23">
        <f>Feb_Month[[#This Row],[Salary]]/Feb_Month[[#This Row],[Days]]</f>
        <v>1642.8571428571429</v>
      </c>
      <c r="BD23" s="24">
        <f>Feb_Month[[#This Row],[PerDay Salary]]*Feb_Month[[#This Row],[Absent]]</f>
        <v>1642.8571428571429</v>
      </c>
      <c r="BE23" s="23">
        <f>Feb_Month[[#This Row],[Salary]]-Feb_Month[[#This Row],[Deduction]]</f>
        <v>44357.142857142855</v>
      </c>
      <c r="BF23" s="22"/>
      <c r="BG23" s="53"/>
    </row>
    <row r="24" spans="1:59" ht="15.75" x14ac:dyDescent="0.25">
      <c r="A24" s="47"/>
      <c r="B24" s="47"/>
      <c r="C24" s="47"/>
      <c r="D24" s="48"/>
      <c r="F24" s="50"/>
      <c r="G24" s="3">
        <v>16</v>
      </c>
      <c r="H24" s="4">
        <v>1016</v>
      </c>
      <c r="I24" s="5" t="s">
        <v>18</v>
      </c>
      <c r="J24" s="37">
        <f t="shared" si="9"/>
        <v>4</v>
      </c>
      <c r="K24" s="38" t="s">
        <v>43</v>
      </c>
      <c r="L24" s="38" t="str">
        <f t="shared" si="11"/>
        <v>WO</v>
      </c>
      <c r="M24" s="38" t="s">
        <v>43</v>
      </c>
      <c r="N24" s="38" t="s">
        <v>43</v>
      </c>
      <c r="O24" s="38" t="s">
        <v>43</v>
      </c>
      <c r="P24" s="38" t="s">
        <v>42</v>
      </c>
      <c r="Q24" s="38" t="s">
        <v>43</v>
      </c>
      <c r="R24" s="38" t="s">
        <v>43</v>
      </c>
      <c r="S24" s="38" t="s">
        <v>43</v>
      </c>
      <c r="T24" s="38" t="s">
        <v>43</v>
      </c>
      <c r="U24" s="38" t="s">
        <v>43</v>
      </c>
      <c r="V24" s="38" t="s">
        <v>43</v>
      </c>
      <c r="W24" s="38" t="s">
        <v>43</v>
      </c>
      <c r="X24" s="38" t="s">
        <v>43</v>
      </c>
      <c r="Y24" s="38" t="s">
        <v>43</v>
      </c>
      <c r="Z24" s="38" t="str">
        <f t="shared" si="11"/>
        <v>WO</v>
      </c>
      <c r="AA24" s="38" t="s">
        <v>43</v>
      </c>
      <c r="AB24" s="38" t="s">
        <v>43</v>
      </c>
      <c r="AC24" s="38" t="s">
        <v>42</v>
      </c>
      <c r="AD24" s="38" t="s">
        <v>43</v>
      </c>
      <c r="AE24" s="38" t="s">
        <v>43</v>
      </c>
      <c r="AF24" s="38" t="s">
        <v>43</v>
      </c>
      <c r="AG24" s="38" t="str">
        <f t="shared" si="12"/>
        <v>WO</v>
      </c>
      <c r="AH24" s="38" t="s">
        <v>43</v>
      </c>
      <c r="AI24" s="38" t="s">
        <v>43</v>
      </c>
      <c r="AJ24" s="38" t="s">
        <v>43</v>
      </c>
      <c r="AK24" s="38" t="s">
        <v>43</v>
      </c>
      <c r="AL24" s="38" t="s">
        <v>43</v>
      </c>
      <c r="AM24" s="38"/>
      <c r="AN24" s="38"/>
      <c r="AO24" s="39"/>
      <c r="AP24" s="50"/>
      <c r="AQ24" s="53"/>
      <c r="AR24" s="19">
        <v>16</v>
      </c>
      <c r="AS24" s="19">
        <v>1016</v>
      </c>
      <c r="AT24" s="19" t="str">
        <f t="shared" si="3"/>
        <v>February</v>
      </c>
      <c r="AU24" s="19" t="s">
        <v>18</v>
      </c>
      <c r="AV24" s="27">
        <f t="shared" si="4"/>
        <v>23</v>
      </c>
      <c r="AW24" s="22">
        <f t="shared" si="5"/>
        <v>0</v>
      </c>
      <c r="AX24" s="22">
        <f t="shared" si="6"/>
        <v>2</v>
      </c>
      <c r="AY24" s="22">
        <f t="shared" si="7"/>
        <v>4</v>
      </c>
      <c r="AZ24" s="22">
        <f t="shared" si="8"/>
        <v>28</v>
      </c>
      <c r="BA24" s="22">
        <f>Feb_Month[[#This Row],[Days]]-Feb_Month[[#This Row],[Absent]]</f>
        <v>28</v>
      </c>
      <c r="BB24" s="23">
        <v>52000</v>
      </c>
      <c r="BC24" s="23">
        <f>Feb_Month[[#This Row],[Salary]]/Feb_Month[[#This Row],[Days]]</f>
        <v>1857.1428571428571</v>
      </c>
      <c r="BD24" s="24">
        <f>Feb_Month[[#This Row],[PerDay Salary]]*Feb_Month[[#This Row],[Absent]]</f>
        <v>0</v>
      </c>
      <c r="BE24" s="23">
        <f>Feb_Month[[#This Row],[Salary]]-Feb_Month[[#This Row],[Deduction]]</f>
        <v>52000</v>
      </c>
      <c r="BF24" s="22"/>
      <c r="BG24" s="53"/>
    </row>
    <row r="25" spans="1:59" ht="15.75" x14ac:dyDescent="0.25">
      <c r="A25" s="47"/>
      <c r="B25" s="47"/>
      <c r="C25" s="47"/>
      <c r="D25" s="48"/>
      <c r="F25" s="50"/>
      <c r="G25" s="3">
        <v>17</v>
      </c>
      <c r="H25" s="4">
        <v>1017</v>
      </c>
      <c r="I25" s="5" t="s">
        <v>19</v>
      </c>
      <c r="J25" s="37">
        <f t="shared" si="9"/>
        <v>4</v>
      </c>
      <c r="K25" s="38" t="s">
        <v>44</v>
      </c>
      <c r="L25" s="38" t="str">
        <f t="shared" si="11"/>
        <v>WO</v>
      </c>
      <c r="M25" s="38" t="s">
        <v>43</v>
      </c>
      <c r="N25" s="38" t="s">
        <v>43</v>
      </c>
      <c r="O25" s="38" t="s">
        <v>43</v>
      </c>
      <c r="P25" s="38" t="s">
        <v>42</v>
      </c>
      <c r="Q25" s="38" t="s">
        <v>43</v>
      </c>
      <c r="R25" s="38" t="s">
        <v>43</v>
      </c>
      <c r="S25" s="38" t="s">
        <v>43</v>
      </c>
      <c r="T25" s="38" t="s">
        <v>43</v>
      </c>
      <c r="U25" s="38" t="s">
        <v>43</v>
      </c>
      <c r="V25" s="38" t="s">
        <v>43</v>
      </c>
      <c r="W25" s="38" t="s">
        <v>43</v>
      </c>
      <c r="X25" s="38" t="s">
        <v>43</v>
      </c>
      <c r="Y25" s="38" t="s">
        <v>43</v>
      </c>
      <c r="Z25" s="38" t="str">
        <f t="shared" si="11"/>
        <v>WO</v>
      </c>
      <c r="AA25" s="38" t="s">
        <v>43</v>
      </c>
      <c r="AB25" s="38" t="s">
        <v>43</v>
      </c>
      <c r="AC25" s="38" t="s">
        <v>42</v>
      </c>
      <c r="AD25" s="38" t="s">
        <v>43</v>
      </c>
      <c r="AE25" s="38" t="s">
        <v>43</v>
      </c>
      <c r="AF25" s="38" t="s">
        <v>43</v>
      </c>
      <c r="AG25" s="38" t="str">
        <f t="shared" si="12"/>
        <v>WO</v>
      </c>
      <c r="AH25" s="38" t="s">
        <v>43</v>
      </c>
      <c r="AI25" s="38" t="s">
        <v>43</v>
      </c>
      <c r="AJ25" s="38" t="s">
        <v>43</v>
      </c>
      <c r="AK25" s="38" t="s">
        <v>43</v>
      </c>
      <c r="AL25" s="38" t="s">
        <v>43</v>
      </c>
      <c r="AM25" s="38"/>
      <c r="AN25" s="38"/>
      <c r="AO25" s="39"/>
      <c r="AP25" s="50"/>
      <c r="AQ25" s="53"/>
      <c r="AR25" s="19">
        <v>17</v>
      </c>
      <c r="AS25" s="19">
        <v>1017</v>
      </c>
      <c r="AT25" s="19" t="str">
        <f t="shared" si="3"/>
        <v>February</v>
      </c>
      <c r="AU25" s="19" t="s">
        <v>19</v>
      </c>
      <c r="AV25" s="27">
        <f t="shared" si="4"/>
        <v>22</v>
      </c>
      <c r="AW25" s="22">
        <f t="shared" si="5"/>
        <v>1</v>
      </c>
      <c r="AX25" s="22">
        <f t="shared" si="6"/>
        <v>2</v>
      </c>
      <c r="AY25" s="22">
        <f t="shared" si="7"/>
        <v>4</v>
      </c>
      <c r="AZ25" s="22">
        <f t="shared" si="8"/>
        <v>28</v>
      </c>
      <c r="BA25" s="22">
        <f>Feb_Month[[#This Row],[Days]]-Feb_Month[[#This Row],[Absent]]</f>
        <v>27</v>
      </c>
      <c r="BB25" s="23">
        <v>42000</v>
      </c>
      <c r="BC25" s="23">
        <f>Feb_Month[[#This Row],[Salary]]/Feb_Month[[#This Row],[Days]]</f>
        <v>1500</v>
      </c>
      <c r="BD25" s="24">
        <f>Feb_Month[[#This Row],[PerDay Salary]]*Feb_Month[[#This Row],[Absent]]</f>
        <v>1500</v>
      </c>
      <c r="BE25" s="23">
        <f>Feb_Month[[#This Row],[Salary]]-Feb_Month[[#This Row],[Deduction]]</f>
        <v>40500</v>
      </c>
      <c r="BF25" s="22"/>
      <c r="BG25" s="53"/>
    </row>
    <row r="26" spans="1:59" ht="15.75" x14ac:dyDescent="0.25">
      <c r="A26" s="47"/>
      <c r="B26" s="47"/>
      <c r="C26" s="47"/>
      <c r="D26" s="48"/>
      <c r="F26" s="50"/>
      <c r="G26" s="3">
        <v>18</v>
      </c>
      <c r="H26" s="4">
        <v>1018</v>
      </c>
      <c r="I26" s="5" t="s">
        <v>20</v>
      </c>
      <c r="J26" s="37">
        <f t="shared" si="9"/>
        <v>4</v>
      </c>
      <c r="K26" s="38" t="s">
        <v>43</v>
      </c>
      <c r="L26" s="38" t="str">
        <f t="shared" si="11"/>
        <v>WO</v>
      </c>
      <c r="M26" s="38" t="s">
        <v>43</v>
      </c>
      <c r="N26" s="38" t="s">
        <v>43</v>
      </c>
      <c r="O26" s="38" t="s">
        <v>43</v>
      </c>
      <c r="P26" s="38" t="s">
        <v>42</v>
      </c>
      <c r="Q26" s="38" t="s">
        <v>43</v>
      </c>
      <c r="R26" s="38" t="s">
        <v>43</v>
      </c>
      <c r="S26" s="38" t="s">
        <v>43</v>
      </c>
      <c r="T26" s="38" t="s">
        <v>43</v>
      </c>
      <c r="U26" s="38" t="s">
        <v>43</v>
      </c>
      <c r="V26" s="38" t="s">
        <v>43</v>
      </c>
      <c r="W26" s="38" t="s">
        <v>43</v>
      </c>
      <c r="X26" s="38" t="s">
        <v>43</v>
      </c>
      <c r="Y26" s="38" t="s">
        <v>43</v>
      </c>
      <c r="Z26" s="38" t="str">
        <f t="shared" si="11"/>
        <v>WO</v>
      </c>
      <c r="AA26" s="38" t="s">
        <v>43</v>
      </c>
      <c r="AB26" s="38" t="s">
        <v>43</v>
      </c>
      <c r="AC26" s="38" t="s">
        <v>42</v>
      </c>
      <c r="AD26" s="38" t="s">
        <v>43</v>
      </c>
      <c r="AE26" s="38" t="s">
        <v>43</v>
      </c>
      <c r="AF26" s="38" t="s">
        <v>43</v>
      </c>
      <c r="AG26" s="38" t="str">
        <f t="shared" si="12"/>
        <v>WO</v>
      </c>
      <c r="AH26" s="38" t="s">
        <v>43</v>
      </c>
      <c r="AI26" s="38" t="s">
        <v>43</v>
      </c>
      <c r="AJ26" s="38" t="s">
        <v>43</v>
      </c>
      <c r="AK26" s="38" t="s">
        <v>43</v>
      </c>
      <c r="AL26" s="38" t="s">
        <v>43</v>
      </c>
      <c r="AM26" s="38"/>
      <c r="AN26" s="38"/>
      <c r="AO26" s="39"/>
      <c r="AP26" s="50"/>
      <c r="AQ26" s="53"/>
      <c r="AR26" s="19">
        <v>18</v>
      </c>
      <c r="AS26" s="19">
        <v>1018</v>
      </c>
      <c r="AT26" s="19" t="str">
        <f t="shared" si="3"/>
        <v>February</v>
      </c>
      <c r="AU26" s="19" t="s">
        <v>20</v>
      </c>
      <c r="AV26" s="27">
        <f t="shared" si="4"/>
        <v>23</v>
      </c>
      <c r="AW26" s="22">
        <f t="shared" si="5"/>
        <v>0</v>
      </c>
      <c r="AX26" s="22">
        <f t="shared" si="6"/>
        <v>2</v>
      </c>
      <c r="AY26" s="22">
        <f t="shared" si="7"/>
        <v>4</v>
      </c>
      <c r="AZ26" s="22">
        <f t="shared" si="8"/>
        <v>28</v>
      </c>
      <c r="BA26" s="22">
        <f>Feb_Month[[#This Row],[Days]]-Feb_Month[[#This Row],[Absent]]</f>
        <v>28</v>
      </c>
      <c r="BB26" s="23">
        <v>62000</v>
      </c>
      <c r="BC26" s="23">
        <f>Feb_Month[[#This Row],[Salary]]/Feb_Month[[#This Row],[Days]]</f>
        <v>2214.2857142857142</v>
      </c>
      <c r="BD26" s="24">
        <f>Feb_Month[[#This Row],[PerDay Salary]]*Feb_Month[[#This Row],[Absent]]</f>
        <v>0</v>
      </c>
      <c r="BE26" s="23">
        <f>Feb_Month[[#This Row],[Salary]]-Feb_Month[[#This Row],[Deduction]]</f>
        <v>62000</v>
      </c>
      <c r="BF26" s="22"/>
      <c r="BG26" s="53"/>
    </row>
    <row r="27" spans="1:59" ht="15.75" x14ac:dyDescent="0.25">
      <c r="A27" s="47"/>
      <c r="B27" s="47"/>
      <c r="C27" s="47"/>
      <c r="D27" s="48"/>
      <c r="F27" s="50"/>
      <c r="G27" s="3">
        <v>19</v>
      </c>
      <c r="H27" s="4">
        <v>1019</v>
      </c>
      <c r="I27" s="5" t="s">
        <v>21</v>
      </c>
      <c r="J27" s="37">
        <f t="shared" si="9"/>
        <v>4</v>
      </c>
      <c r="K27" s="38" t="s">
        <v>43</v>
      </c>
      <c r="L27" s="38" t="str">
        <f t="shared" si="11"/>
        <v>WO</v>
      </c>
      <c r="M27" s="38" t="s">
        <v>43</v>
      </c>
      <c r="N27" s="38" t="s">
        <v>43</v>
      </c>
      <c r="O27" s="38" t="s">
        <v>43</v>
      </c>
      <c r="P27" s="38" t="s">
        <v>42</v>
      </c>
      <c r="Q27" s="38" t="s">
        <v>43</v>
      </c>
      <c r="R27" s="38" t="s">
        <v>43</v>
      </c>
      <c r="S27" s="38" t="s">
        <v>43</v>
      </c>
      <c r="T27" s="38" t="s">
        <v>43</v>
      </c>
      <c r="U27" s="38" t="s">
        <v>43</v>
      </c>
      <c r="V27" s="38" t="s">
        <v>43</v>
      </c>
      <c r="W27" s="38" t="s">
        <v>43</v>
      </c>
      <c r="X27" s="38" t="s">
        <v>43</v>
      </c>
      <c r="Y27" s="38" t="s">
        <v>43</v>
      </c>
      <c r="Z27" s="38" t="str">
        <f t="shared" si="11"/>
        <v>WO</v>
      </c>
      <c r="AA27" s="38" t="s">
        <v>43</v>
      </c>
      <c r="AB27" s="38" t="s">
        <v>43</v>
      </c>
      <c r="AC27" s="38" t="s">
        <v>42</v>
      </c>
      <c r="AD27" s="38" t="s">
        <v>43</v>
      </c>
      <c r="AE27" s="38" t="s">
        <v>43</v>
      </c>
      <c r="AF27" s="38" t="s">
        <v>43</v>
      </c>
      <c r="AG27" s="38" t="str">
        <f t="shared" si="12"/>
        <v>WO</v>
      </c>
      <c r="AH27" s="38" t="s">
        <v>43</v>
      </c>
      <c r="AI27" s="38" t="s">
        <v>43</v>
      </c>
      <c r="AJ27" s="38" t="s">
        <v>43</v>
      </c>
      <c r="AK27" s="38" t="s">
        <v>43</v>
      </c>
      <c r="AL27" s="38" t="s">
        <v>43</v>
      </c>
      <c r="AM27" s="38"/>
      <c r="AN27" s="38"/>
      <c r="AO27" s="39"/>
      <c r="AP27" s="50"/>
      <c r="AQ27" s="53"/>
      <c r="AR27" s="19">
        <v>19</v>
      </c>
      <c r="AS27" s="19">
        <v>1019</v>
      </c>
      <c r="AT27" s="19" t="str">
        <f t="shared" si="3"/>
        <v>February</v>
      </c>
      <c r="AU27" s="19" t="s">
        <v>21</v>
      </c>
      <c r="AV27" s="27">
        <f t="shared" si="4"/>
        <v>23</v>
      </c>
      <c r="AW27" s="22">
        <f t="shared" si="5"/>
        <v>0</v>
      </c>
      <c r="AX27" s="22">
        <f t="shared" si="6"/>
        <v>2</v>
      </c>
      <c r="AY27" s="22">
        <f t="shared" si="7"/>
        <v>4</v>
      </c>
      <c r="AZ27" s="22">
        <f t="shared" si="8"/>
        <v>28</v>
      </c>
      <c r="BA27" s="22">
        <f>Feb_Month[[#This Row],[Days]]-Feb_Month[[#This Row],[Absent]]</f>
        <v>28</v>
      </c>
      <c r="BB27" s="23">
        <v>41000</v>
      </c>
      <c r="BC27" s="23">
        <f>Feb_Month[[#This Row],[Salary]]/Feb_Month[[#This Row],[Days]]</f>
        <v>1464.2857142857142</v>
      </c>
      <c r="BD27" s="24">
        <f>Feb_Month[[#This Row],[PerDay Salary]]*Feb_Month[[#This Row],[Absent]]</f>
        <v>0</v>
      </c>
      <c r="BE27" s="23">
        <f>Feb_Month[[#This Row],[Salary]]-Feb_Month[[#This Row],[Deduction]]</f>
        <v>41000</v>
      </c>
      <c r="BF27" s="22"/>
      <c r="BG27" s="53"/>
    </row>
    <row r="28" spans="1:59" ht="16.5" thickBot="1" x14ac:dyDescent="0.3">
      <c r="A28" s="47"/>
      <c r="B28" s="47"/>
      <c r="C28" s="47"/>
      <c r="D28" s="48"/>
      <c r="F28" s="50"/>
      <c r="G28" s="6">
        <v>20</v>
      </c>
      <c r="H28" s="7">
        <v>1020</v>
      </c>
      <c r="I28" s="8" t="s">
        <v>22</v>
      </c>
      <c r="J28" s="40">
        <f t="shared" si="9"/>
        <v>4</v>
      </c>
      <c r="K28" s="41" t="s">
        <v>43</v>
      </c>
      <c r="L28" s="41" t="str">
        <f t="shared" si="11"/>
        <v>WO</v>
      </c>
      <c r="M28" s="41" t="s">
        <v>43</v>
      </c>
      <c r="N28" s="41" t="s">
        <v>43</v>
      </c>
      <c r="O28" s="41" t="s">
        <v>43</v>
      </c>
      <c r="P28" s="41" t="s">
        <v>42</v>
      </c>
      <c r="Q28" s="41" t="s">
        <v>43</v>
      </c>
      <c r="R28" s="41" t="s">
        <v>43</v>
      </c>
      <c r="S28" s="41" t="s">
        <v>43</v>
      </c>
      <c r="T28" s="41" t="s">
        <v>43</v>
      </c>
      <c r="U28" s="41" t="s">
        <v>43</v>
      </c>
      <c r="V28" s="41" t="s">
        <v>43</v>
      </c>
      <c r="W28" s="41" t="s">
        <v>43</v>
      </c>
      <c r="X28" s="41" t="s">
        <v>43</v>
      </c>
      <c r="Y28" s="41" t="s">
        <v>44</v>
      </c>
      <c r="Z28" s="41" t="str">
        <f t="shared" si="11"/>
        <v>WO</v>
      </c>
      <c r="AA28" s="41" t="s">
        <v>44</v>
      </c>
      <c r="AB28" s="41" t="s">
        <v>44</v>
      </c>
      <c r="AC28" s="41" t="s">
        <v>42</v>
      </c>
      <c r="AD28" s="41" t="s">
        <v>43</v>
      </c>
      <c r="AE28" s="41" t="s">
        <v>43</v>
      </c>
      <c r="AF28" s="41" t="s">
        <v>43</v>
      </c>
      <c r="AG28" s="41" t="str">
        <f t="shared" si="12"/>
        <v>WO</v>
      </c>
      <c r="AH28" s="41" t="s">
        <v>43</v>
      </c>
      <c r="AI28" s="41" t="s">
        <v>43</v>
      </c>
      <c r="AJ28" s="41" t="s">
        <v>43</v>
      </c>
      <c r="AK28" s="41" t="s">
        <v>43</v>
      </c>
      <c r="AL28" s="41" t="s">
        <v>43</v>
      </c>
      <c r="AM28" s="41"/>
      <c r="AN28" s="41"/>
      <c r="AO28" s="42"/>
      <c r="AP28" s="50"/>
      <c r="AQ28" s="53"/>
      <c r="AR28" s="19">
        <v>20</v>
      </c>
      <c r="AS28" s="19">
        <v>1020</v>
      </c>
      <c r="AT28" s="19" t="str">
        <f t="shared" si="3"/>
        <v>February</v>
      </c>
      <c r="AU28" s="19" t="s">
        <v>22</v>
      </c>
      <c r="AV28" s="27">
        <f t="shared" si="4"/>
        <v>20</v>
      </c>
      <c r="AW28" s="22">
        <f t="shared" si="5"/>
        <v>3</v>
      </c>
      <c r="AX28" s="22">
        <f t="shared" si="6"/>
        <v>2</v>
      </c>
      <c r="AY28" s="22">
        <f t="shared" si="7"/>
        <v>4</v>
      </c>
      <c r="AZ28" s="22">
        <f t="shared" si="8"/>
        <v>28</v>
      </c>
      <c r="BA28" s="22">
        <f>Feb_Month[[#This Row],[Days]]-Feb_Month[[#This Row],[Absent]]</f>
        <v>25</v>
      </c>
      <c r="BB28" s="23">
        <v>30000</v>
      </c>
      <c r="BC28" s="23">
        <f>Feb_Month[[#This Row],[Salary]]/Feb_Month[[#This Row],[Days]]</f>
        <v>1071.4285714285713</v>
      </c>
      <c r="BD28" s="24">
        <f>Feb_Month[[#This Row],[PerDay Salary]]*Feb_Month[[#This Row],[Absent]]</f>
        <v>3214.2857142857138</v>
      </c>
      <c r="BE28" s="23">
        <f>Feb_Month[[#This Row],[Salary]]-Feb_Month[[#This Row],[Deduction]]</f>
        <v>26785.714285714286</v>
      </c>
      <c r="BF28" s="22"/>
      <c r="BG28" s="53"/>
    </row>
    <row r="29" spans="1:59" ht="15.75" thickTop="1" x14ac:dyDescent="0.25">
      <c r="A29" s="47"/>
      <c r="B29" s="47"/>
      <c r="C29" s="47"/>
      <c r="D29" s="48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</row>
    <row r="30" spans="1:59" x14ac:dyDescent="0.25">
      <c r="D30" s="48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</row>
    <row r="31" spans="1:59" x14ac:dyDescent="0.25">
      <c r="D31" s="48"/>
    </row>
    <row r="32" spans="1:59" x14ac:dyDescent="0.25">
      <c r="D32" s="48"/>
    </row>
    <row r="33" spans="4:4" x14ac:dyDescent="0.25">
      <c r="D33" s="48"/>
    </row>
    <row r="34" spans="4:4" x14ac:dyDescent="0.25">
      <c r="D34" s="48"/>
    </row>
    <row r="35" spans="4:4" x14ac:dyDescent="0.25">
      <c r="D35" s="48"/>
    </row>
    <row r="36" spans="4:4" x14ac:dyDescent="0.25">
      <c r="D36" s="48"/>
    </row>
    <row r="37" spans="4:4" x14ac:dyDescent="0.25">
      <c r="D37" s="48"/>
    </row>
    <row r="38" spans="4:4" x14ac:dyDescent="0.25">
      <c r="D38" s="48"/>
    </row>
    <row r="39" spans="4:4" x14ac:dyDescent="0.25">
      <c r="D39" s="48"/>
    </row>
    <row r="40" spans="4:4" x14ac:dyDescent="0.25">
      <c r="D40" s="48"/>
    </row>
    <row r="41" spans="4:4" x14ac:dyDescent="0.25">
      <c r="D41" s="48"/>
    </row>
    <row r="42" spans="4:4" x14ac:dyDescent="0.25">
      <c r="D42" s="48"/>
    </row>
    <row r="43" spans="4:4" x14ac:dyDescent="0.25">
      <c r="D43" s="48"/>
    </row>
    <row r="44" spans="4:4" x14ac:dyDescent="0.25">
      <c r="D44" s="48"/>
    </row>
    <row r="45" spans="4:4" x14ac:dyDescent="0.25">
      <c r="D45" s="48"/>
    </row>
    <row r="46" spans="4:4" x14ac:dyDescent="0.25">
      <c r="D46" s="48"/>
    </row>
    <row r="47" spans="4:4" x14ac:dyDescent="0.25">
      <c r="D47" s="48"/>
    </row>
    <row r="48" spans="4:4" x14ac:dyDescent="0.25">
      <c r="D48" s="48"/>
    </row>
  </sheetData>
  <mergeCells count="1">
    <mergeCell ref="G7:I7"/>
  </mergeCells>
  <conditionalFormatting sqref="K9:AO28">
    <cfRule type="containsText" dxfId="263" priority="1" operator="containsText" text="L">
      <formula>NOT(ISERROR(SEARCH("L",K9)))</formula>
    </cfRule>
    <cfRule type="containsText" dxfId="262" priority="2" operator="containsText" text="A">
      <formula>NOT(ISERROR(SEARCH("A",K9)))</formula>
    </cfRule>
    <cfRule type="containsText" dxfId="261" priority="3" operator="containsText" text="P">
      <formula>NOT(ISERROR(SEARCH("P",K9)))</formula>
    </cfRule>
    <cfRule type="containsText" dxfId="260" priority="4" operator="containsText" text="WO">
      <formula>NOT(ISERROR(SEARCH("WO",K9)))</formula>
    </cfRule>
    <cfRule type="containsText" dxfId="259" priority="5" operator="containsText" text="WO">
      <formula>NOT(ISERROR(SEARCH("WO",K9)))</formula>
    </cfRule>
  </conditionalFormatting>
  <dataValidations count="1">
    <dataValidation type="list" allowBlank="1" showInputMessage="1" showErrorMessage="1" sqref="M9:Y28 K9:K28 AH9:AL28 AA9:AF28">
      <formula1>"P ,A ,L"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Feb!AV9:AY9</xm:f>
              <xm:sqref>BF9</xm:sqref>
            </x14:sparkline>
            <x14:sparkline>
              <xm:f>Feb!AV10:AY10</xm:f>
              <xm:sqref>BF10</xm:sqref>
            </x14:sparkline>
            <x14:sparkline>
              <xm:f>Feb!AV11:AY11</xm:f>
              <xm:sqref>BF11</xm:sqref>
            </x14:sparkline>
            <x14:sparkline>
              <xm:f>Feb!AV12:AY12</xm:f>
              <xm:sqref>BF12</xm:sqref>
            </x14:sparkline>
            <x14:sparkline>
              <xm:f>Feb!AV13:AY13</xm:f>
              <xm:sqref>BF13</xm:sqref>
            </x14:sparkline>
            <x14:sparkline>
              <xm:f>Feb!AV14:AY14</xm:f>
              <xm:sqref>BF14</xm:sqref>
            </x14:sparkline>
            <x14:sparkline>
              <xm:f>Feb!AV15:AY15</xm:f>
              <xm:sqref>BF15</xm:sqref>
            </x14:sparkline>
            <x14:sparkline>
              <xm:f>Feb!AV16:AY16</xm:f>
              <xm:sqref>BF16</xm:sqref>
            </x14:sparkline>
            <x14:sparkline>
              <xm:f>Feb!AV17:AY17</xm:f>
              <xm:sqref>BF17</xm:sqref>
            </x14:sparkline>
            <x14:sparkline>
              <xm:f>Feb!AV18:AY18</xm:f>
              <xm:sqref>BF18</xm:sqref>
            </x14:sparkline>
            <x14:sparkline>
              <xm:f>Feb!AV19:AY19</xm:f>
              <xm:sqref>BF19</xm:sqref>
            </x14:sparkline>
            <x14:sparkline>
              <xm:f>Feb!AV20:AY20</xm:f>
              <xm:sqref>BF20</xm:sqref>
            </x14:sparkline>
            <x14:sparkline>
              <xm:f>Feb!AV21:AY21</xm:f>
              <xm:sqref>BF21</xm:sqref>
            </x14:sparkline>
            <x14:sparkline>
              <xm:f>Feb!AV22:AY22</xm:f>
              <xm:sqref>BF22</xm:sqref>
            </x14:sparkline>
            <x14:sparkline>
              <xm:f>Feb!AV23:AY23</xm:f>
              <xm:sqref>BF23</xm:sqref>
            </x14:sparkline>
            <x14:sparkline>
              <xm:f>Feb!AV24:AY24</xm:f>
              <xm:sqref>BF24</xm:sqref>
            </x14:sparkline>
            <x14:sparkline>
              <xm:f>Feb!AV25:AY25</xm:f>
              <xm:sqref>BF25</xm:sqref>
            </x14:sparkline>
            <x14:sparkline>
              <xm:f>Feb!AV26:AY26</xm:f>
              <xm:sqref>BF26</xm:sqref>
            </x14:sparkline>
            <x14:sparkline>
              <xm:f>Feb!AV27:AY27</xm:f>
              <xm:sqref>BF27</xm:sqref>
            </x14:sparkline>
            <x14:sparkline>
              <xm:f>Feb!AV28:AY28</xm:f>
              <xm:sqref>BF28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zoomScale="70" zoomScaleNormal="70" workbookViewId="0">
      <selection activeCell="G7" sqref="G7:I7"/>
    </sheetView>
  </sheetViews>
  <sheetFormatPr defaultRowHeight="15" x14ac:dyDescent="0.25"/>
  <cols>
    <col min="1" max="3" width="9.140625" style="29"/>
    <col min="5" max="6" width="9.140625" style="29"/>
    <col min="7" max="7" width="7.28515625" style="29" customWidth="1"/>
    <col min="8" max="8" width="15.28515625" style="29" bestFit="1" customWidth="1"/>
    <col min="9" max="9" width="22.42578125" style="29" bestFit="1" customWidth="1"/>
    <col min="10" max="10" width="10" style="29" bestFit="1" customWidth="1"/>
    <col min="11" max="37" width="4.7109375" style="29" customWidth="1"/>
    <col min="38" max="38" width="6.140625" style="29" customWidth="1"/>
    <col min="39" max="41" width="4.7109375" style="29" customWidth="1"/>
    <col min="42" max="43" width="9.140625" style="29"/>
    <col min="44" max="44" width="7.28515625" style="29" customWidth="1"/>
    <col min="45" max="46" width="14.140625" style="29" customWidth="1"/>
    <col min="47" max="47" width="17.85546875" style="29" customWidth="1"/>
    <col min="48" max="48" width="9.85546875" style="29" customWidth="1"/>
    <col min="49" max="49" width="9.28515625" style="29" customWidth="1"/>
    <col min="50" max="50" width="9.140625" style="29"/>
    <col min="51" max="51" width="11.85546875" style="29" customWidth="1"/>
    <col min="52" max="52" width="9.140625" style="29"/>
    <col min="53" max="53" width="12" style="29" customWidth="1"/>
    <col min="54" max="54" width="12.42578125" style="29" bestFit="1" customWidth="1"/>
    <col min="55" max="55" width="15.7109375" style="29" customWidth="1"/>
    <col min="56" max="56" width="12.140625" style="29" customWidth="1"/>
    <col min="57" max="57" width="13.7109375" style="29" customWidth="1"/>
    <col min="58" max="58" width="15.5703125" style="29" bestFit="1" customWidth="1"/>
    <col min="59" max="16384" width="9.140625" style="29"/>
  </cols>
  <sheetData>
    <row r="1" spans="1:59" x14ac:dyDescent="0.25">
      <c r="A1"/>
      <c r="B1"/>
      <c r="C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25">
      <c r="A2"/>
      <c r="B2"/>
      <c r="C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25">
      <c r="A3"/>
      <c r="B3"/>
      <c r="C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25">
      <c r="A4"/>
      <c r="B4"/>
      <c r="C4"/>
      <c r="D4" s="29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/>
      <c r="B5"/>
      <c r="C5"/>
      <c r="D5" s="29"/>
      <c r="F5" s="43"/>
      <c r="G5" s="43" t="s">
        <v>27</v>
      </c>
      <c r="H5" s="44">
        <v>45717</v>
      </c>
      <c r="I5" s="43">
        <f>(DATEDIF($H$5,$L$5,"D"))+1</f>
        <v>31</v>
      </c>
      <c r="J5" s="43" t="str">
        <f>TEXT(H5,"MMMM")</f>
        <v>March</v>
      </c>
      <c r="K5" s="43" t="s">
        <v>28</v>
      </c>
      <c r="L5" s="44">
        <f>EOMONTH(H5,0)</f>
        <v>45747</v>
      </c>
      <c r="M5" s="43"/>
      <c r="BD5" s="30"/>
    </row>
    <row r="6" spans="1:59" ht="15.75" thickBot="1" x14ac:dyDescent="0.3">
      <c r="A6"/>
      <c r="B6"/>
      <c r="C6"/>
      <c r="D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30" thickTop="1" x14ac:dyDescent="0.25">
      <c r="A7"/>
      <c r="B7"/>
      <c r="C7"/>
      <c r="D7" s="29"/>
      <c r="F7" s="31"/>
      <c r="G7" s="61" t="s">
        <v>30</v>
      </c>
      <c r="H7" s="62"/>
      <c r="I7" s="63"/>
      <c r="J7" s="15" t="s">
        <v>29</v>
      </c>
      <c r="K7" s="59" t="str">
        <f>TEXT(K8,"DDD")</f>
        <v>Sat</v>
      </c>
      <c r="L7" s="59" t="str">
        <f t="shared" ref="L7:AO7" si="0">TEXT(L8,"DDD")</f>
        <v>Sun</v>
      </c>
      <c r="M7" s="59" t="str">
        <f t="shared" si="0"/>
        <v>Mon</v>
      </c>
      <c r="N7" s="59" t="str">
        <f t="shared" si="0"/>
        <v>Tue</v>
      </c>
      <c r="O7" s="59" t="str">
        <f t="shared" si="0"/>
        <v>Wed</v>
      </c>
      <c r="P7" s="59" t="str">
        <f t="shared" si="0"/>
        <v>Thu</v>
      </c>
      <c r="Q7" s="59" t="str">
        <f t="shared" si="0"/>
        <v>Fri</v>
      </c>
      <c r="R7" s="59" t="str">
        <f t="shared" si="0"/>
        <v>Sat</v>
      </c>
      <c r="S7" s="59" t="str">
        <f t="shared" si="0"/>
        <v>Sun</v>
      </c>
      <c r="T7" s="59" t="str">
        <f t="shared" si="0"/>
        <v>Mon</v>
      </c>
      <c r="U7" s="59" t="str">
        <f t="shared" si="0"/>
        <v>Tue</v>
      </c>
      <c r="V7" s="59" t="str">
        <f t="shared" si="0"/>
        <v>Wed</v>
      </c>
      <c r="W7" s="59" t="str">
        <f t="shared" si="0"/>
        <v>Thu</v>
      </c>
      <c r="X7" s="59" t="str">
        <f t="shared" si="0"/>
        <v>Fri</v>
      </c>
      <c r="Y7" s="59" t="str">
        <f t="shared" si="0"/>
        <v>Sat</v>
      </c>
      <c r="Z7" s="59" t="str">
        <f t="shared" si="0"/>
        <v>Sun</v>
      </c>
      <c r="AA7" s="59" t="str">
        <f t="shared" si="0"/>
        <v>Mon</v>
      </c>
      <c r="AB7" s="59" t="str">
        <f t="shared" si="0"/>
        <v>Tue</v>
      </c>
      <c r="AC7" s="59" t="str">
        <f t="shared" si="0"/>
        <v>Wed</v>
      </c>
      <c r="AD7" s="59" t="str">
        <f t="shared" si="0"/>
        <v>Thu</v>
      </c>
      <c r="AE7" s="59" t="str">
        <f t="shared" si="0"/>
        <v>Fri</v>
      </c>
      <c r="AF7" s="59" t="str">
        <f t="shared" si="0"/>
        <v>Sat</v>
      </c>
      <c r="AG7" s="59" t="str">
        <f t="shared" si="0"/>
        <v>Sun</v>
      </c>
      <c r="AH7" s="59" t="str">
        <f t="shared" si="0"/>
        <v>Mon</v>
      </c>
      <c r="AI7" s="59" t="str">
        <f t="shared" si="0"/>
        <v>Tue</v>
      </c>
      <c r="AJ7" s="59" t="str">
        <f t="shared" si="0"/>
        <v>Wed</v>
      </c>
      <c r="AK7" s="59" t="str">
        <f t="shared" si="0"/>
        <v>Thu</v>
      </c>
      <c r="AL7" s="59" t="str">
        <f t="shared" si="0"/>
        <v>Fri</v>
      </c>
      <c r="AM7" s="59" t="str">
        <f t="shared" si="0"/>
        <v>Sat</v>
      </c>
      <c r="AN7" s="59" t="str">
        <f t="shared" si="0"/>
        <v>Sun</v>
      </c>
      <c r="AO7" s="60" t="str">
        <f t="shared" si="0"/>
        <v>Mon</v>
      </c>
      <c r="AP7" s="31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/>
      <c r="B8"/>
      <c r="C8"/>
      <c r="D8" s="29"/>
      <c r="F8" s="31"/>
      <c r="G8" s="9" t="s">
        <v>23</v>
      </c>
      <c r="H8" s="10" t="s">
        <v>24</v>
      </c>
      <c r="I8" s="11" t="s">
        <v>25</v>
      </c>
      <c r="J8" s="12" t="s">
        <v>26</v>
      </c>
      <c r="K8" s="13">
        <f>H5</f>
        <v>45717</v>
      </c>
      <c r="L8" s="13">
        <f>IF(K8&lt;$L$5,K8+1,"")</f>
        <v>45718</v>
      </c>
      <c r="M8" s="13">
        <f t="shared" ref="M8:AO8" si="1">IF(L8&lt;$L$5,L8+1,"")</f>
        <v>45719</v>
      </c>
      <c r="N8" s="13">
        <f t="shared" si="1"/>
        <v>45720</v>
      </c>
      <c r="O8" s="13">
        <f t="shared" si="1"/>
        <v>45721</v>
      </c>
      <c r="P8" s="13">
        <f t="shared" si="1"/>
        <v>45722</v>
      </c>
      <c r="Q8" s="13">
        <f t="shared" si="1"/>
        <v>45723</v>
      </c>
      <c r="R8" s="13">
        <f t="shared" si="1"/>
        <v>45724</v>
      </c>
      <c r="S8" s="13">
        <f t="shared" si="1"/>
        <v>45725</v>
      </c>
      <c r="T8" s="13">
        <f t="shared" si="1"/>
        <v>45726</v>
      </c>
      <c r="U8" s="13">
        <f t="shared" si="1"/>
        <v>45727</v>
      </c>
      <c r="V8" s="13">
        <f t="shared" si="1"/>
        <v>45728</v>
      </c>
      <c r="W8" s="13">
        <f t="shared" si="1"/>
        <v>45729</v>
      </c>
      <c r="X8" s="13">
        <f t="shared" si="1"/>
        <v>45730</v>
      </c>
      <c r="Y8" s="13">
        <f t="shared" si="1"/>
        <v>45731</v>
      </c>
      <c r="Z8" s="13">
        <f t="shared" si="1"/>
        <v>45732</v>
      </c>
      <c r="AA8" s="13">
        <f t="shared" si="1"/>
        <v>45733</v>
      </c>
      <c r="AB8" s="13">
        <f t="shared" si="1"/>
        <v>45734</v>
      </c>
      <c r="AC8" s="13">
        <f t="shared" si="1"/>
        <v>45735</v>
      </c>
      <c r="AD8" s="13">
        <f t="shared" si="1"/>
        <v>45736</v>
      </c>
      <c r="AE8" s="13">
        <f t="shared" si="1"/>
        <v>45737</v>
      </c>
      <c r="AF8" s="13">
        <f t="shared" si="1"/>
        <v>45738</v>
      </c>
      <c r="AG8" s="13">
        <f t="shared" si="1"/>
        <v>45739</v>
      </c>
      <c r="AH8" s="13">
        <f t="shared" si="1"/>
        <v>45740</v>
      </c>
      <c r="AI8" s="13">
        <f t="shared" si="1"/>
        <v>45741</v>
      </c>
      <c r="AJ8" s="13">
        <f t="shared" si="1"/>
        <v>45742</v>
      </c>
      <c r="AK8" s="13">
        <f t="shared" si="1"/>
        <v>45743</v>
      </c>
      <c r="AL8" s="13">
        <f t="shared" si="1"/>
        <v>45744</v>
      </c>
      <c r="AM8" s="13">
        <f t="shared" si="1"/>
        <v>45745</v>
      </c>
      <c r="AN8" s="13">
        <f t="shared" si="1"/>
        <v>45746</v>
      </c>
      <c r="AO8" s="14">
        <f t="shared" si="1"/>
        <v>45747</v>
      </c>
      <c r="AP8" s="32"/>
      <c r="AQ8" s="35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36"/>
    </row>
    <row r="9" spans="1:59" ht="16.5" thickTop="1" x14ac:dyDescent="0.25">
      <c r="A9"/>
      <c r="B9"/>
      <c r="C9"/>
      <c r="D9" s="29"/>
      <c r="F9" s="31"/>
      <c r="G9" s="3">
        <v>1</v>
      </c>
      <c r="H9" s="4">
        <v>1001</v>
      </c>
      <c r="I9" s="5" t="s">
        <v>3</v>
      </c>
      <c r="J9" s="37">
        <f>COUNTIF($K$7:$AO$7,"Sun")</f>
        <v>5</v>
      </c>
      <c r="K9" s="38" t="s">
        <v>43</v>
      </c>
      <c r="L9" s="38" t="str">
        <f t="shared" ref="L9:AN17" si="2">IF(L$7="Sun","WO","")</f>
        <v>WO</v>
      </c>
      <c r="M9" s="38" t="s">
        <v>43</v>
      </c>
      <c r="N9" s="38" t="s">
        <v>43</v>
      </c>
      <c r="O9" s="38" t="s">
        <v>43</v>
      </c>
      <c r="P9" s="38" t="s">
        <v>44</v>
      </c>
      <c r="Q9" s="38" t="s">
        <v>42</v>
      </c>
      <c r="R9" s="38" t="s">
        <v>42</v>
      </c>
      <c r="S9" s="38" t="str">
        <f t="shared" si="2"/>
        <v>WO</v>
      </c>
      <c r="T9" s="38" t="s">
        <v>43</v>
      </c>
      <c r="U9" s="38" t="s">
        <v>43</v>
      </c>
      <c r="V9" s="38" t="s">
        <v>43</v>
      </c>
      <c r="W9" s="38" t="s">
        <v>43</v>
      </c>
      <c r="X9" s="38" t="s">
        <v>43</v>
      </c>
      <c r="Y9" s="38" t="s">
        <v>43</v>
      </c>
      <c r="Z9" s="38" t="str">
        <f t="shared" si="2"/>
        <v>WO</v>
      </c>
      <c r="AA9" s="38" t="s">
        <v>43</v>
      </c>
      <c r="AB9" s="38" t="s">
        <v>43</v>
      </c>
      <c r="AC9" s="38" t="s">
        <v>43</v>
      </c>
      <c r="AD9" s="38" t="s">
        <v>43</v>
      </c>
      <c r="AE9" s="38" t="s">
        <v>43</v>
      </c>
      <c r="AF9" s="38" t="s">
        <v>43</v>
      </c>
      <c r="AG9" s="38" t="str">
        <f t="shared" si="2"/>
        <v>WO</v>
      </c>
      <c r="AH9" s="38" t="s">
        <v>43</v>
      </c>
      <c r="AI9" s="38" t="s">
        <v>43</v>
      </c>
      <c r="AJ9" s="38" t="s">
        <v>43</v>
      </c>
      <c r="AK9" s="38" t="s">
        <v>43</v>
      </c>
      <c r="AL9" s="38" t="s">
        <v>43</v>
      </c>
      <c r="AM9" s="38" t="s">
        <v>43</v>
      </c>
      <c r="AN9" s="38" t="str">
        <f t="shared" si="2"/>
        <v>WO</v>
      </c>
      <c r="AO9" s="39" t="s">
        <v>43</v>
      </c>
      <c r="AP9" s="31"/>
      <c r="AQ9" s="36"/>
      <c r="AR9" s="19">
        <v>1</v>
      </c>
      <c r="AS9" s="19">
        <v>1001</v>
      </c>
      <c r="AT9" s="19" t="str">
        <f t="shared" ref="AT9:AT28" si="3">$J$5</f>
        <v>March</v>
      </c>
      <c r="AU9" s="19" t="s">
        <v>3</v>
      </c>
      <c r="AV9" s="26">
        <f t="shared" ref="AV9:AV28" si="4">COUNTIF($K9:$AO9,"*P*")</f>
        <v>23</v>
      </c>
      <c r="AW9" s="20">
        <f t="shared" ref="AW9:AW28" si="5">COUNTIF($K9:$AO9,"*A*")</f>
        <v>1</v>
      </c>
      <c r="AX9" s="20">
        <f t="shared" ref="AX9:AX28" si="6">COUNTIF($K9:$AO9,"L")</f>
        <v>2</v>
      </c>
      <c r="AY9" s="20">
        <f t="shared" ref="AY9:AY28" si="7">$J$9</f>
        <v>5</v>
      </c>
      <c r="AZ9" s="20">
        <f t="shared" ref="AZ9:AZ28" si="8">$I$5</f>
        <v>31</v>
      </c>
      <c r="BA9" s="20">
        <f>Mar_Month[[#This Row],[Days]]-Mar_Month[[#This Row],[Absent]]</f>
        <v>30</v>
      </c>
      <c r="BB9" s="21">
        <v>10000</v>
      </c>
      <c r="BC9" s="21">
        <f>Mar_Month[[#This Row],[Salary]]/Mar_Month[[#This Row],[Days]]</f>
        <v>322.58064516129031</v>
      </c>
      <c r="BD9" s="24">
        <f>Mar_Month[[#This Row],[PerDay Salary]]*Mar_Month[[#This Row],[Absent]]</f>
        <v>322.58064516129031</v>
      </c>
      <c r="BE9" s="23">
        <f>Mar_Month[[#This Row],[Salary]]-Mar_Month[[#This Row],[Deduction]]</f>
        <v>9677.4193548387102</v>
      </c>
      <c r="BF9" s="22"/>
      <c r="BG9" s="36"/>
    </row>
    <row r="10" spans="1:59" ht="15.75" x14ac:dyDescent="0.25">
      <c r="A10"/>
      <c r="B10"/>
      <c r="C10"/>
      <c r="D10" s="29"/>
      <c r="F10" s="31"/>
      <c r="G10" s="3">
        <v>2</v>
      </c>
      <c r="H10" s="4">
        <v>1002</v>
      </c>
      <c r="I10" s="5" t="s">
        <v>4</v>
      </c>
      <c r="J10" s="37">
        <f t="shared" ref="J10:J28" si="9">COUNTIF($K$7:$AO$7,"Sun")</f>
        <v>5</v>
      </c>
      <c r="K10" s="38" t="s">
        <v>43</v>
      </c>
      <c r="L10" s="38" t="str">
        <f t="shared" si="2"/>
        <v>WO</v>
      </c>
      <c r="M10" s="38" t="s">
        <v>43</v>
      </c>
      <c r="N10" s="38" t="s">
        <v>43</v>
      </c>
      <c r="O10" s="38" t="s">
        <v>43</v>
      </c>
      <c r="P10" s="38" t="s">
        <v>43</v>
      </c>
      <c r="Q10" s="38" t="s">
        <v>42</v>
      </c>
      <c r="R10" s="38" t="s">
        <v>42</v>
      </c>
      <c r="S10" s="38" t="str">
        <f t="shared" si="2"/>
        <v>WO</v>
      </c>
      <c r="T10" s="38" t="s">
        <v>43</v>
      </c>
      <c r="U10" s="38" t="s">
        <v>43</v>
      </c>
      <c r="V10" s="38" t="s">
        <v>43</v>
      </c>
      <c r="W10" s="38" t="s">
        <v>43</v>
      </c>
      <c r="X10" s="38" t="s">
        <v>43</v>
      </c>
      <c r="Y10" s="38" t="s">
        <v>43</v>
      </c>
      <c r="Z10" s="38" t="str">
        <f t="shared" si="2"/>
        <v>WO</v>
      </c>
      <c r="AA10" s="38" t="s">
        <v>43</v>
      </c>
      <c r="AB10" s="38" t="s">
        <v>43</v>
      </c>
      <c r="AC10" s="38" t="s">
        <v>43</v>
      </c>
      <c r="AD10" s="38" t="s">
        <v>43</v>
      </c>
      <c r="AE10" s="38" t="s">
        <v>43</v>
      </c>
      <c r="AF10" s="38" t="s">
        <v>43</v>
      </c>
      <c r="AG10" s="38" t="str">
        <f t="shared" si="2"/>
        <v>WO</v>
      </c>
      <c r="AH10" s="38" t="s">
        <v>43</v>
      </c>
      <c r="AI10" s="38" t="s">
        <v>43</v>
      </c>
      <c r="AJ10" s="38" t="s">
        <v>43</v>
      </c>
      <c r="AK10" s="38" t="s">
        <v>43</v>
      </c>
      <c r="AL10" s="38" t="s">
        <v>43</v>
      </c>
      <c r="AM10" s="38" t="s">
        <v>43</v>
      </c>
      <c r="AN10" s="38" t="str">
        <f t="shared" si="2"/>
        <v>WO</v>
      </c>
      <c r="AO10" s="39" t="s">
        <v>43</v>
      </c>
      <c r="AP10" s="31"/>
      <c r="AQ10" s="36"/>
      <c r="AR10" s="19">
        <v>2</v>
      </c>
      <c r="AS10" s="19">
        <v>1002</v>
      </c>
      <c r="AT10" s="19" t="str">
        <f t="shared" si="3"/>
        <v>March</v>
      </c>
      <c r="AU10" s="19" t="s">
        <v>4</v>
      </c>
      <c r="AV10" s="27">
        <f t="shared" si="4"/>
        <v>24</v>
      </c>
      <c r="AW10" s="22">
        <f t="shared" si="5"/>
        <v>0</v>
      </c>
      <c r="AX10" s="22">
        <f t="shared" si="6"/>
        <v>2</v>
      </c>
      <c r="AY10" s="22">
        <f t="shared" si="7"/>
        <v>5</v>
      </c>
      <c r="AZ10" s="22">
        <f t="shared" si="8"/>
        <v>31</v>
      </c>
      <c r="BA10" s="22">
        <f>Mar_Month[[#This Row],[Days]]-Mar_Month[[#This Row],[Absent]]</f>
        <v>31</v>
      </c>
      <c r="BB10" s="23">
        <v>20000</v>
      </c>
      <c r="BC10" s="23">
        <f>Mar_Month[[#This Row],[Salary]]/Mar_Month[[#This Row],[Days]]</f>
        <v>645.16129032258061</v>
      </c>
      <c r="BD10" s="24">
        <f>Mar_Month[[#This Row],[PerDay Salary]]*Mar_Month[[#This Row],[Absent]]</f>
        <v>0</v>
      </c>
      <c r="BE10" s="23">
        <f>Mar_Month[[#This Row],[Salary]]-Mar_Month[[#This Row],[Deduction]]</f>
        <v>20000</v>
      </c>
      <c r="BF10" s="22"/>
      <c r="BG10" s="36"/>
    </row>
    <row r="11" spans="1:59" ht="15.75" x14ac:dyDescent="0.25">
      <c r="A11"/>
      <c r="B11"/>
      <c r="C11"/>
      <c r="D11" s="29"/>
      <c r="F11" s="31"/>
      <c r="G11" s="3">
        <v>3</v>
      </c>
      <c r="H11" s="4">
        <v>1003</v>
      </c>
      <c r="I11" s="5" t="s">
        <v>5</v>
      </c>
      <c r="J11" s="37">
        <f t="shared" si="9"/>
        <v>5</v>
      </c>
      <c r="K11" s="38" t="s">
        <v>43</v>
      </c>
      <c r="L11" s="38" t="str">
        <f t="shared" si="2"/>
        <v>WO</v>
      </c>
      <c r="M11" s="38" t="s">
        <v>43</v>
      </c>
      <c r="N11" s="38" t="s">
        <v>43</v>
      </c>
      <c r="O11" s="38" t="s">
        <v>43</v>
      </c>
      <c r="P11" s="38" t="s">
        <v>43</v>
      </c>
      <c r="Q11" s="38" t="s">
        <v>42</v>
      </c>
      <c r="R11" s="38" t="s">
        <v>42</v>
      </c>
      <c r="S11" s="38" t="str">
        <f t="shared" si="2"/>
        <v>WO</v>
      </c>
      <c r="T11" s="38" t="s">
        <v>43</v>
      </c>
      <c r="U11" s="38" t="s">
        <v>43</v>
      </c>
      <c r="V11" s="38" t="s">
        <v>43</v>
      </c>
      <c r="W11" s="38" t="s">
        <v>43</v>
      </c>
      <c r="X11" s="38" t="s">
        <v>43</v>
      </c>
      <c r="Y11" s="38" t="s">
        <v>43</v>
      </c>
      <c r="Z11" s="38" t="str">
        <f t="shared" si="2"/>
        <v>WO</v>
      </c>
      <c r="AA11" s="38" t="s">
        <v>43</v>
      </c>
      <c r="AB11" s="38" t="s">
        <v>43</v>
      </c>
      <c r="AC11" s="38" t="s">
        <v>43</v>
      </c>
      <c r="AD11" s="38" t="s">
        <v>43</v>
      </c>
      <c r="AE11" s="38" t="s">
        <v>43</v>
      </c>
      <c r="AF11" s="38" t="s">
        <v>43</v>
      </c>
      <c r="AG11" s="38" t="str">
        <f t="shared" si="2"/>
        <v>WO</v>
      </c>
      <c r="AH11" s="38" t="s">
        <v>43</v>
      </c>
      <c r="AI11" s="38" t="s">
        <v>43</v>
      </c>
      <c r="AJ11" s="38" t="s">
        <v>43</v>
      </c>
      <c r="AK11" s="38" t="s">
        <v>43</v>
      </c>
      <c r="AL11" s="38" t="s">
        <v>43</v>
      </c>
      <c r="AM11" s="38" t="s">
        <v>43</v>
      </c>
      <c r="AN11" s="38" t="str">
        <f t="shared" si="2"/>
        <v>WO</v>
      </c>
      <c r="AO11" s="39" t="s">
        <v>43</v>
      </c>
      <c r="AP11" s="31"/>
      <c r="AQ11" s="36"/>
      <c r="AR11" s="19">
        <v>3</v>
      </c>
      <c r="AS11" s="19">
        <v>1003</v>
      </c>
      <c r="AT11" s="19" t="str">
        <f t="shared" si="3"/>
        <v>March</v>
      </c>
      <c r="AU11" s="19" t="s">
        <v>5</v>
      </c>
      <c r="AV11" s="27">
        <f t="shared" si="4"/>
        <v>24</v>
      </c>
      <c r="AW11" s="22">
        <f t="shared" si="5"/>
        <v>0</v>
      </c>
      <c r="AX11" s="22">
        <f t="shared" si="6"/>
        <v>2</v>
      </c>
      <c r="AY11" s="22">
        <f t="shared" si="7"/>
        <v>5</v>
      </c>
      <c r="AZ11" s="22">
        <f t="shared" si="8"/>
        <v>31</v>
      </c>
      <c r="BA11" s="22">
        <f>Mar_Month[[#This Row],[Days]]-Mar_Month[[#This Row],[Absent]]</f>
        <v>31</v>
      </c>
      <c r="BB11" s="23">
        <v>25000</v>
      </c>
      <c r="BC11" s="23">
        <f>Mar_Month[[#This Row],[Salary]]/Mar_Month[[#This Row],[Days]]</f>
        <v>806.45161290322585</v>
      </c>
      <c r="BD11" s="24">
        <f>Mar_Month[[#This Row],[PerDay Salary]]*Mar_Month[[#This Row],[Absent]]</f>
        <v>0</v>
      </c>
      <c r="BE11" s="23">
        <f>Mar_Month[[#This Row],[Salary]]-Mar_Month[[#This Row],[Deduction]]</f>
        <v>25000</v>
      </c>
      <c r="BF11" s="22"/>
      <c r="BG11" s="36"/>
    </row>
    <row r="12" spans="1:59" ht="15.75" x14ac:dyDescent="0.25">
      <c r="A12"/>
      <c r="B12"/>
      <c r="C12"/>
      <c r="D12" s="29"/>
      <c r="F12" s="31"/>
      <c r="G12" s="3">
        <v>4</v>
      </c>
      <c r="H12" s="4">
        <v>1004</v>
      </c>
      <c r="I12" s="5" t="s">
        <v>6</v>
      </c>
      <c r="J12" s="37">
        <f t="shared" si="9"/>
        <v>5</v>
      </c>
      <c r="K12" s="38" t="s">
        <v>43</v>
      </c>
      <c r="L12" s="38" t="str">
        <f t="shared" si="2"/>
        <v>WO</v>
      </c>
      <c r="M12" s="38" t="s">
        <v>43</v>
      </c>
      <c r="N12" s="38" t="s">
        <v>43</v>
      </c>
      <c r="O12" s="38" t="s">
        <v>43</v>
      </c>
      <c r="P12" s="38" t="s">
        <v>43</v>
      </c>
      <c r="Q12" s="38" t="s">
        <v>42</v>
      </c>
      <c r="R12" s="38" t="s">
        <v>42</v>
      </c>
      <c r="S12" s="38" t="str">
        <f t="shared" si="2"/>
        <v>WO</v>
      </c>
      <c r="T12" s="38" t="s">
        <v>43</v>
      </c>
      <c r="U12" s="38" t="s">
        <v>43</v>
      </c>
      <c r="V12" s="38" t="s">
        <v>43</v>
      </c>
      <c r="W12" s="38" t="s">
        <v>43</v>
      </c>
      <c r="X12" s="38" t="s">
        <v>43</v>
      </c>
      <c r="Y12" s="38" t="s">
        <v>43</v>
      </c>
      <c r="Z12" s="38" t="str">
        <f t="shared" si="2"/>
        <v>WO</v>
      </c>
      <c r="AA12" s="38" t="s">
        <v>43</v>
      </c>
      <c r="AB12" s="38" t="s">
        <v>43</v>
      </c>
      <c r="AC12" s="38" t="s">
        <v>43</v>
      </c>
      <c r="AD12" s="38" t="s">
        <v>43</v>
      </c>
      <c r="AE12" s="38" t="s">
        <v>43</v>
      </c>
      <c r="AF12" s="38" t="s">
        <v>43</v>
      </c>
      <c r="AG12" s="38" t="str">
        <f t="shared" si="2"/>
        <v>WO</v>
      </c>
      <c r="AH12" s="38" t="s">
        <v>43</v>
      </c>
      <c r="AI12" s="38" t="s">
        <v>43</v>
      </c>
      <c r="AJ12" s="38" t="s">
        <v>43</v>
      </c>
      <c r="AK12" s="38" t="s">
        <v>44</v>
      </c>
      <c r="AL12" s="38" t="s">
        <v>43</v>
      </c>
      <c r="AM12" s="38" t="s">
        <v>43</v>
      </c>
      <c r="AN12" s="38" t="str">
        <f t="shared" si="2"/>
        <v>WO</v>
      </c>
      <c r="AO12" s="39" t="s">
        <v>43</v>
      </c>
      <c r="AP12" s="31"/>
      <c r="AQ12" s="36"/>
      <c r="AR12" s="19">
        <v>4</v>
      </c>
      <c r="AS12" s="19">
        <v>1004</v>
      </c>
      <c r="AT12" s="19" t="str">
        <f t="shared" si="3"/>
        <v>March</v>
      </c>
      <c r="AU12" s="19" t="s">
        <v>6</v>
      </c>
      <c r="AV12" s="27">
        <f t="shared" si="4"/>
        <v>23</v>
      </c>
      <c r="AW12" s="22">
        <f t="shared" si="5"/>
        <v>1</v>
      </c>
      <c r="AX12" s="22">
        <f t="shared" si="6"/>
        <v>2</v>
      </c>
      <c r="AY12" s="22">
        <f t="shared" si="7"/>
        <v>5</v>
      </c>
      <c r="AZ12" s="22">
        <f t="shared" si="8"/>
        <v>31</v>
      </c>
      <c r="BA12" s="22">
        <f>Mar_Month[[#This Row],[Days]]-Mar_Month[[#This Row],[Absent]]</f>
        <v>30</v>
      </c>
      <c r="BB12" s="23">
        <v>30000</v>
      </c>
      <c r="BC12" s="23">
        <f>Mar_Month[[#This Row],[Salary]]/Mar_Month[[#This Row],[Days]]</f>
        <v>967.74193548387098</v>
      </c>
      <c r="BD12" s="24">
        <f>Mar_Month[[#This Row],[PerDay Salary]]*Mar_Month[[#This Row],[Absent]]</f>
        <v>967.74193548387098</v>
      </c>
      <c r="BE12" s="23">
        <f>Mar_Month[[#This Row],[Salary]]-Mar_Month[[#This Row],[Deduction]]</f>
        <v>29032.258064516129</v>
      </c>
      <c r="BF12" s="22"/>
      <c r="BG12" s="36"/>
    </row>
    <row r="13" spans="1:59" ht="15.75" x14ac:dyDescent="0.25">
      <c r="A13"/>
      <c r="B13"/>
      <c r="C13"/>
      <c r="D13" s="29"/>
      <c r="F13" s="31"/>
      <c r="G13" s="3">
        <v>5</v>
      </c>
      <c r="H13" s="4">
        <v>1005</v>
      </c>
      <c r="I13" s="5" t="s">
        <v>7</v>
      </c>
      <c r="J13" s="37">
        <f t="shared" si="9"/>
        <v>5</v>
      </c>
      <c r="K13" s="38" t="s">
        <v>43</v>
      </c>
      <c r="L13" s="38" t="str">
        <f t="shared" si="2"/>
        <v>WO</v>
      </c>
      <c r="M13" s="38" t="s">
        <v>43</v>
      </c>
      <c r="N13" s="38" t="s">
        <v>43</v>
      </c>
      <c r="O13" s="38" t="s">
        <v>43</v>
      </c>
      <c r="P13" s="38" t="s">
        <v>43</v>
      </c>
      <c r="Q13" s="38" t="s">
        <v>42</v>
      </c>
      <c r="R13" s="38" t="s">
        <v>42</v>
      </c>
      <c r="S13" s="38" t="str">
        <f t="shared" si="2"/>
        <v>WO</v>
      </c>
      <c r="T13" s="38" t="s">
        <v>43</v>
      </c>
      <c r="U13" s="38" t="s">
        <v>43</v>
      </c>
      <c r="V13" s="38" t="s">
        <v>43</v>
      </c>
      <c r="W13" s="38" t="s">
        <v>43</v>
      </c>
      <c r="X13" s="38" t="s">
        <v>43</v>
      </c>
      <c r="Y13" s="38" t="s">
        <v>43</v>
      </c>
      <c r="Z13" s="38" t="str">
        <f t="shared" si="2"/>
        <v>WO</v>
      </c>
      <c r="AA13" s="38" t="s">
        <v>43</v>
      </c>
      <c r="AB13" s="38" t="s">
        <v>43</v>
      </c>
      <c r="AC13" s="38" t="s">
        <v>43</v>
      </c>
      <c r="AD13" s="38" t="s">
        <v>43</v>
      </c>
      <c r="AE13" s="38" t="s">
        <v>43</v>
      </c>
      <c r="AF13" s="38" t="s">
        <v>43</v>
      </c>
      <c r="AG13" s="38" t="str">
        <f t="shared" si="2"/>
        <v>WO</v>
      </c>
      <c r="AH13" s="38" t="s">
        <v>43</v>
      </c>
      <c r="AI13" s="38" t="s">
        <v>43</v>
      </c>
      <c r="AJ13" s="38" t="s">
        <v>43</v>
      </c>
      <c r="AK13" s="38" t="s">
        <v>43</v>
      </c>
      <c r="AL13" s="38" t="s">
        <v>43</v>
      </c>
      <c r="AM13" s="38" t="s">
        <v>43</v>
      </c>
      <c r="AN13" s="38" t="str">
        <f t="shared" si="2"/>
        <v>WO</v>
      </c>
      <c r="AO13" s="39" t="s">
        <v>43</v>
      </c>
      <c r="AP13" s="31"/>
      <c r="AQ13" s="36"/>
      <c r="AR13" s="19">
        <v>5</v>
      </c>
      <c r="AS13" s="19">
        <v>1005</v>
      </c>
      <c r="AT13" s="19" t="str">
        <f t="shared" si="3"/>
        <v>March</v>
      </c>
      <c r="AU13" s="19" t="s">
        <v>7</v>
      </c>
      <c r="AV13" s="27">
        <f t="shared" si="4"/>
        <v>24</v>
      </c>
      <c r="AW13" s="22">
        <f t="shared" si="5"/>
        <v>0</v>
      </c>
      <c r="AX13" s="22">
        <f t="shared" si="6"/>
        <v>2</v>
      </c>
      <c r="AY13" s="22">
        <f t="shared" si="7"/>
        <v>5</v>
      </c>
      <c r="AZ13" s="22">
        <f t="shared" si="8"/>
        <v>31</v>
      </c>
      <c r="BA13" s="22">
        <f>Mar_Month[[#This Row],[Days]]-Mar_Month[[#This Row],[Absent]]</f>
        <v>31</v>
      </c>
      <c r="BB13" s="23">
        <v>45000</v>
      </c>
      <c r="BC13" s="23">
        <f>Mar_Month[[#This Row],[Salary]]/Mar_Month[[#This Row],[Days]]</f>
        <v>1451.6129032258063</v>
      </c>
      <c r="BD13" s="24">
        <f>Mar_Month[[#This Row],[PerDay Salary]]*Mar_Month[[#This Row],[Absent]]</f>
        <v>0</v>
      </c>
      <c r="BE13" s="23">
        <f>Mar_Month[[#This Row],[Salary]]-Mar_Month[[#This Row],[Deduction]]</f>
        <v>45000</v>
      </c>
      <c r="BF13" s="22"/>
      <c r="BG13" s="36"/>
    </row>
    <row r="14" spans="1:59" ht="15.75" x14ac:dyDescent="0.25">
      <c r="A14"/>
      <c r="B14"/>
      <c r="C14"/>
      <c r="D14" s="29"/>
      <c r="F14" s="31"/>
      <c r="G14" s="3">
        <v>6</v>
      </c>
      <c r="H14" s="4">
        <v>1006</v>
      </c>
      <c r="I14" s="5" t="s">
        <v>8</v>
      </c>
      <c r="J14" s="37">
        <f t="shared" si="9"/>
        <v>5</v>
      </c>
      <c r="K14" s="38" t="s">
        <v>43</v>
      </c>
      <c r="L14" s="38" t="str">
        <f t="shared" si="2"/>
        <v>WO</v>
      </c>
      <c r="M14" s="38" t="s">
        <v>44</v>
      </c>
      <c r="N14" s="38" t="s">
        <v>43</v>
      </c>
      <c r="O14" s="38" t="s">
        <v>43</v>
      </c>
      <c r="P14" s="38" t="s">
        <v>43</v>
      </c>
      <c r="Q14" s="38" t="s">
        <v>42</v>
      </c>
      <c r="R14" s="38" t="s">
        <v>42</v>
      </c>
      <c r="S14" s="38" t="str">
        <f t="shared" si="2"/>
        <v>WO</v>
      </c>
      <c r="T14" s="38" t="s">
        <v>43</v>
      </c>
      <c r="U14" s="38" t="s">
        <v>43</v>
      </c>
      <c r="V14" s="38" t="s">
        <v>43</v>
      </c>
      <c r="W14" s="38" t="s">
        <v>43</v>
      </c>
      <c r="X14" s="38" t="s">
        <v>43</v>
      </c>
      <c r="Y14" s="38" t="s">
        <v>43</v>
      </c>
      <c r="Z14" s="38" t="str">
        <f t="shared" si="2"/>
        <v>WO</v>
      </c>
      <c r="AA14" s="38" t="s">
        <v>43</v>
      </c>
      <c r="AB14" s="38" t="s">
        <v>43</v>
      </c>
      <c r="AC14" s="38" t="s">
        <v>43</v>
      </c>
      <c r="AD14" s="38" t="s">
        <v>43</v>
      </c>
      <c r="AE14" s="38" t="s">
        <v>43</v>
      </c>
      <c r="AF14" s="38" t="s">
        <v>43</v>
      </c>
      <c r="AG14" s="38" t="str">
        <f t="shared" si="2"/>
        <v>WO</v>
      </c>
      <c r="AH14" s="38" t="s">
        <v>43</v>
      </c>
      <c r="AI14" s="38" t="s">
        <v>43</v>
      </c>
      <c r="AJ14" s="38" t="s">
        <v>43</v>
      </c>
      <c r="AK14" s="38" t="s">
        <v>43</v>
      </c>
      <c r="AL14" s="38" t="s">
        <v>43</v>
      </c>
      <c r="AM14" s="38" t="s">
        <v>43</v>
      </c>
      <c r="AN14" s="38" t="str">
        <f t="shared" si="2"/>
        <v>WO</v>
      </c>
      <c r="AO14" s="39" t="s">
        <v>43</v>
      </c>
      <c r="AP14" s="31"/>
      <c r="AQ14" s="36"/>
      <c r="AR14" s="19">
        <v>6</v>
      </c>
      <c r="AS14" s="19">
        <v>1006</v>
      </c>
      <c r="AT14" s="19" t="str">
        <f t="shared" si="3"/>
        <v>March</v>
      </c>
      <c r="AU14" s="19" t="s">
        <v>8</v>
      </c>
      <c r="AV14" s="27">
        <f t="shared" si="4"/>
        <v>23</v>
      </c>
      <c r="AW14" s="22">
        <f t="shared" si="5"/>
        <v>1</v>
      </c>
      <c r="AX14" s="22">
        <f t="shared" si="6"/>
        <v>2</v>
      </c>
      <c r="AY14" s="22">
        <f t="shared" si="7"/>
        <v>5</v>
      </c>
      <c r="AZ14" s="22">
        <f t="shared" si="8"/>
        <v>31</v>
      </c>
      <c r="BA14" s="22">
        <f>Mar_Month[[#This Row],[Days]]-Mar_Month[[#This Row],[Absent]]</f>
        <v>30</v>
      </c>
      <c r="BB14" s="23">
        <v>15000</v>
      </c>
      <c r="BC14" s="23">
        <f>Mar_Month[[#This Row],[Salary]]/Mar_Month[[#This Row],[Days]]</f>
        <v>483.87096774193549</v>
      </c>
      <c r="BD14" s="24">
        <f>Mar_Month[[#This Row],[PerDay Salary]]*Mar_Month[[#This Row],[Absent]]</f>
        <v>483.87096774193549</v>
      </c>
      <c r="BE14" s="23">
        <f>Mar_Month[[#This Row],[Salary]]-Mar_Month[[#This Row],[Deduction]]</f>
        <v>14516.129032258064</v>
      </c>
      <c r="BF14" s="22"/>
      <c r="BG14" s="36"/>
    </row>
    <row r="15" spans="1:59" ht="15.75" x14ac:dyDescent="0.25">
      <c r="A15"/>
      <c r="B15"/>
      <c r="C15"/>
      <c r="D15" s="29"/>
      <c r="F15" s="31"/>
      <c r="G15" s="3">
        <v>7</v>
      </c>
      <c r="H15" s="4">
        <v>1007</v>
      </c>
      <c r="I15" s="5" t="s">
        <v>9</v>
      </c>
      <c r="J15" s="37">
        <f t="shared" si="9"/>
        <v>5</v>
      </c>
      <c r="K15" s="38" t="s">
        <v>43</v>
      </c>
      <c r="L15" s="38" t="str">
        <f t="shared" si="2"/>
        <v>WO</v>
      </c>
      <c r="M15" s="38" t="s">
        <v>43</v>
      </c>
      <c r="N15" s="38" t="s">
        <v>43</v>
      </c>
      <c r="O15" s="38" t="s">
        <v>43</v>
      </c>
      <c r="P15" s="38" t="s">
        <v>43</v>
      </c>
      <c r="Q15" s="38" t="s">
        <v>42</v>
      </c>
      <c r="R15" s="38" t="s">
        <v>42</v>
      </c>
      <c r="S15" s="38" t="str">
        <f t="shared" si="2"/>
        <v>WO</v>
      </c>
      <c r="T15" s="38" t="s">
        <v>43</v>
      </c>
      <c r="U15" s="38" t="s">
        <v>43</v>
      </c>
      <c r="V15" s="38" t="s">
        <v>43</v>
      </c>
      <c r="W15" s="38" t="s">
        <v>43</v>
      </c>
      <c r="X15" s="38" t="s">
        <v>43</v>
      </c>
      <c r="Y15" s="38" t="s">
        <v>43</v>
      </c>
      <c r="Z15" s="38" t="str">
        <f t="shared" si="2"/>
        <v>WO</v>
      </c>
      <c r="AA15" s="38" t="s">
        <v>43</v>
      </c>
      <c r="AB15" s="38" t="s">
        <v>43</v>
      </c>
      <c r="AC15" s="38" t="s">
        <v>43</v>
      </c>
      <c r="AD15" s="38" t="s">
        <v>43</v>
      </c>
      <c r="AE15" s="38" t="s">
        <v>43</v>
      </c>
      <c r="AF15" s="38" t="s">
        <v>43</v>
      </c>
      <c r="AG15" s="38" t="str">
        <f t="shared" si="2"/>
        <v>WO</v>
      </c>
      <c r="AH15" s="38" t="s">
        <v>43</v>
      </c>
      <c r="AI15" s="38" t="s">
        <v>43</v>
      </c>
      <c r="AJ15" s="38" t="s">
        <v>43</v>
      </c>
      <c r="AK15" s="38" t="s">
        <v>43</v>
      </c>
      <c r="AL15" s="38" t="s">
        <v>43</v>
      </c>
      <c r="AM15" s="38" t="s">
        <v>43</v>
      </c>
      <c r="AN15" s="38" t="str">
        <f t="shared" si="2"/>
        <v>WO</v>
      </c>
      <c r="AO15" s="39" t="s">
        <v>43</v>
      </c>
      <c r="AP15" s="31"/>
      <c r="AQ15" s="36"/>
      <c r="AR15" s="19">
        <v>7</v>
      </c>
      <c r="AS15" s="19">
        <v>1007</v>
      </c>
      <c r="AT15" s="19" t="str">
        <f t="shared" si="3"/>
        <v>March</v>
      </c>
      <c r="AU15" s="19" t="s">
        <v>9</v>
      </c>
      <c r="AV15" s="27">
        <f t="shared" si="4"/>
        <v>24</v>
      </c>
      <c r="AW15" s="22">
        <f t="shared" si="5"/>
        <v>0</v>
      </c>
      <c r="AX15" s="22">
        <f t="shared" si="6"/>
        <v>2</v>
      </c>
      <c r="AY15" s="22">
        <f t="shared" si="7"/>
        <v>5</v>
      </c>
      <c r="AZ15" s="22">
        <f t="shared" si="8"/>
        <v>31</v>
      </c>
      <c r="BA15" s="22">
        <f>Mar_Month[[#This Row],[Days]]-Mar_Month[[#This Row],[Absent]]</f>
        <v>31</v>
      </c>
      <c r="BB15" s="23">
        <v>62000</v>
      </c>
      <c r="BC15" s="23">
        <f>Mar_Month[[#This Row],[Salary]]/Mar_Month[[#This Row],[Days]]</f>
        <v>2000</v>
      </c>
      <c r="BD15" s="24">
        <f>Mar_Month[[#This Row],[PerDay Salary]]*Mar_Month[[#This Row],[Absent]]</f>
        <v>0</v>
      </c>
      <c r="BE15" s="23">
        <f>Mar_Month[[#This Row],[Salary]]-Mar_Month[[#This Row],[Deduction]]</f>
        <v>62000</v>
      </c>
      <c r="BF15" s="22"/>
      <c r="BG15" s="36"/>
    </row>
    <row r="16" spans="1:59" ht="15.75" x14ac:dyDescent="0.25">
      <c r="A16"/>
      <c r="B16"/>
      <c r="C16"/>
      <c r="D16" s="29"/>
      <c r="F16" s="31"/>
      <c r="G16" s="3">
        <v>8</v>
      </c>
      <c r="H16" s="4">
        <v>1008</v>
      </c>
      <c r="I16" s="5" t="s">
        <v>10</v>
      </c>
      <c r="J16" s="37">
        <f t="shared" si="9"/>
        <v>5</v>
      </c>
      <c r="K16" s="38" t="s">
        <v>43</v>
      </c>
      <c r="L16" s="38" t="str">
        <f t="shared" si="2"/>
        <v>WO</v>
      </c>
      <c r="M16" s="38" t="s">
        <v>43</v>
      </c>
      <c r="N16" s="38" t="s">
        <v>43</v>
      </c>
      <c r="O16" s="38" t="s">
        <v>43</v>
      </c>
      <c r="P16" s="38" t="s">
        <v>44</v>
      </c>
      <c r="Q16" s="38" t="s">
        <v>42</v>
      </c>
      <c r="R16" s="38" t="s">
        <v>42</v>
      </c>
      <c r="S16" s="38" t="str">
        <f t="shared" si="2"/>
        <v>WO</v>
      </c>
      <c r="T16" s="38" t="s">
        <v>44</v>
      </c>
      <c r="U16" s="38" t="s">
        <v>44</v>
      </c>
      <c r="V16" s="38" t="s">
        <v>43</v>
      </c>
      <c r="W16" s="38" t="s">
        <v>43</v>
      </c>
      <c r="X16" s="38" t="s">
        <v>43</v>
      </c>
      <c r="Y16" s="38" t="s">
        <v>43</v>
      </c>
      <c r="Z16" s="38" t="str">
        <f t="shared" si="2"/>
        <v>WO</v>
      </c>
      <c r="AA16" s="38" t="s">
        <v>43</v>
      </c>
      <c r="AB16" s="38" t="s">
        <v>43</v>
      </c>
      <c r="AC16" s="38" t="s">
        <v>43</v>
      </c>
      <c r="AD16" s="38" t="s">
        <v>43</v>
      </c>
      <c r="AE16" s="38" t="s">
        <v>43</v>
      </c>
      <c r="AF16" s="38" t="s">
        <v>43</v>
      </c>
      <c r="AG16" s="38" t="str">
        <f t="shared" si="2"/>
        <v>WO</v>
      </c>
      <c r="AH16" s="38" t="s">
        <v>43</v>
      </c>
      <c r="AI16" s="38" t="s">
        <v>43</v>
      </c>
      <c r="AJ16" s="38" t="s">
        <v>43</v>
      </c>
      <c r="AK16" s="38" t="s">
        <v>43</v>
      </c>
      <c r="AL16" s="38" t="s">
        <v>43</v>
      </c>
      <c r="AM16" s="38" t="s">
        <v>43</v>
      </c>
      <c r="AN16" s="38" t="str">
        <f t="shared" si="2"/>
        <v>WO</v>
      </c>
      <c r="AO16" s="39" t="s">
        <v>43</v>
      </c>
      <c r="AP16" s="31"/>
      <c r="AQ16" s="36"/>
      <c r="AR16" s="19">
        <v>8</v>
      </c>
      <c r="AS16" s="19">
        <v>1008</v>
      </c>
      <c r="AT16" s="19" t="str">
        <f t="shared" si="3"/>
        <v>March</v>
      </c>
      <c r="AU16" s="19" t="s">
        <v>10</v>
      </c>
      <c r="AV16" s="27">
        <f t="shared" si="4"/>
        <v>21</v>
      </c>
      <c r="AW16" s="22">
        <f t="shared" si="5"/>
        <v>3</v>
      </c>
      <c r="AX16" s="22">
        <f t="shared" si="6"/>
        <v>2</v>
      </c>
      <c r="AY16" s="22">
        <f t="shared" si="7"/>
        <v>5</v>
      </c>
      <c r="AZ16" s="22">
        <f t="shared" si="8"/>
        <v>31</v>
      </c>
      <c r="BA16" s="22">
        <f>Mar_Month[[#This Row],[Days]]-Mar_Month[[#This Row],[Absent]]</f>
        <v>28</v>
      </c>
      <c r="BB16" s="23">
        <v>50000</v>
      </c>
      <c r="BC16" s="23">
        <f>Mar_Month[[#This Row],[Salary]]/Mar_Month[[#This Row],[Days]]</f>
        <v>1612.9032258064517</v>
      </c>
      <c r="BD16" s="24">
        <f>Mar_Month[[#This Row],[PerDay Salary]]*Mar_Month[[#This Row],[Absent]]</f>
        <v>4838.7096774193551</v>
      </c>
      <c r="BE16" s="23">
        <f>Mar_Month[[#This Row],[Salary]]-Mar_Month[[#This Row],[Deduction]]</f>
        <v>45161.290322580644</v>
      </c>
      <c r="BF16" s="22"/>
      <c r="BG16" s="36"/>
    </row>
    <row r="17" spans="1:59" ht="15.75" x14ac:dyDescent="0.25">
      <c r="A17"/>
      <c r="B17"/>
      <c r="C17"/>
      <c r="D17" s="29"/>
      <c r="F17" s="31"/>
      <c r="G17" s="3">
        <v>9</v>
      </c>
      <c r="H17" s="4">
        <v>1009</v>
      </c>
      <c r="I17" s="5" t="s">
        <v>11</v>
      </c>
      <c r="J17" s="37">
        <f t="shared" si="9"/>
        <v>5</v>
      </c>
      <c r="K17" s="38" t="s">
        <v>43</v>
      </c>
      <c r="L17" s="38" t="str">
        <f t="shared" si="2"/>
        <v>WO</v>
      </c>
      <c r="M17" s="38" t="s">
        <v>43</v>
      </c>
      <c r="N17" s="38" t="s">
        <v>43</v>
      </c>
      <c r="O17" s="38" t="s">
        <v>43</v>
      </c>
      <c r="P17" s="38" t="s">
        <v>43</v>
      </c>
      <c r="Q17" s="38" t="s">
        <v>42</v>
      </c>
      <c r="R17" s="38" t="s">
        <v>42</v>
      </c>
      <c r="S17" s="38" t="str">
        <f t="shared" si="2"/>
        <v>WO</v>
      </c>
      <c r="T17" s="38" t="s">
        <v>43</v>
      </c>
      <c r="U17" s="38" t="s">
        <v>43</v>
      </c>
      <c r="V17" s="38" t="s">
        <v>43</v>
      </c>
      <c r="W17" s="38" t="s">
        <v>43</v>
      </c>
      <c r="X17" s="38" t="s">
        <v>43</v>
      </c>
      <c r="Y17" s="38" t="s">
        <v>43</v>
      </c>
      <c r="Z17" s="38" t="str">
        <f t="shared" si="2"/>
        <v>WO</v>
      </c>
      <c r="AA17" s="38" t="s">
        <v>43</v>
      </c>
      <c r="AB17" s="38" t="s">
        <v>43</v>
      </c>
      <c r="AC17" s="38" t="s">
        <v>43</v>
      </c>
      <c r="AD17" s="38" t="s">
        <v>43</v>
      </c>
      <c r="AE17" s="38" t="s">
        <v>43</v>
      </c>
      <c r="AF17" s="38" t="s">
        <v>43</v>
      </c>
      <c r="AG17" s="38" t="str">
        <f t="shared" ref="AG17:AN28" si="10">IF(AG$7="Sun","WO","")</f>
        <v>WO</v>
      </c>
      <c r="AH17" s="38" t="s">
        <v>43</v>
      </c>
      <c r="AI17" s="38" t="s">
        <v>43</v>
      </c>
      <c r="AJ17" s="38" t="s">
        <v>43</v>
      </c>
      <c r="AK17" s="38" t="s">
        <v>43</v>
      </c>
      <c r="AL17" s="38" t="s">
        <v>43</v>
      </c>
      <c r="AM17" s="38" t="s">
        <v>43</v>
      </c>
      <c r="AN17" s="38" t="str">
        <f t="shared" si="10"/>
        <v>WO</v>
      </c>
      <c r="AO17" s="39" t="s">
        <v>43</v>
      </c>
      <c r="AP17" s="31"/>
      <c r="AQ17" s="36"/>
      <c r="AR17" s="19">
        <v>9</v>
      </c>
      <c r="AS17" s="19">
        <v>1009</v>
      </c>
      <c r="AT17" s="19" t="str">
        <f t="shared" si="3"/>
        <v>March</v>
      </c>
      <c r="AU17" s="19" t="s">
        <v>11</v>
      </c>
      <c r="AV17" s="27">
        <f t="shared" si="4"/>
        <v>24</v>
      </c>
      <c r="AW17" s="22">
        <f t="shared" si="5"/>
        <v>0</v>
      </c>
      <c r="AX17" s="22">
        <f t="shared" si="6"/>
        <v>2</v>
      </c>
      <c r="AY17" s="22">
        <f t="shared" si="7"/>
        <v>5</v>
      </c>
      <c r="AZ17" s="22">
        <f t="shared" si="8"/>
        <v>31</v>
      </c>
      <c r="BA17" s="22">
        <f>Mar_Month[[#This Row],[Days]]-Mar_Month[[#This Row],[Absent]]</f>
        <v>31</v>
      </c>
      <c r="BB17" s="23">
        <v>25000</v>
      </c>
      <c r="BC17" s="23">
        <f>Mar_Month[[#This Row],[Salary]]/Mar_Month[[#This Row],[Days]]</f>
        <v>806.45161290322585</v>
      </c>
      <c r="BD17" s="24">
        <f>Mar_Month[[#This Row],[PerDay Salary]]*Mar_Month[[#This Row],[Absent]]</f>
        <v>0</v>
      </c>
      <c r="BE17" s="23">
        <f>Mar_Month[[#This Row],[Salary]]-Mar_Month[[#This Row],[Deduction]]</f>
        <v>25000</v>
      </c>
      <c r="BF17" s="22"/>
      <c r="BG17" s="36"/>
    </row>
    <row r="18" spans="1:59" ht="15.75" x14ac:dyDescent="0.25">
      <c r="A18"/>
      <c r="B18"/>
      <c r="C18"/>
      <c r="D18" s="29"/>
      <c r="F18" s="31"/>
      <c r="G18" s="3">
        <v>10</v>
      </c>
      <c r="H18" s="4">
        <v>1010</v>
      </c>
      <c r="I18" s="5" t="s">
        <v>12</v>
      </c>
      <c r="J18" s="37">
        <f t="shared" si="9"/>
        <v>5</v>
      </c>
      <c r="K18" s="38" t="s">
        <v>43</v>
      </c>
      <c r="L18" s="38" t="str">
        <f t="shared" ref="L18:Z28" si="11">IF(L$7="Sun","WO","")</f>
        <v>WO</v>
      </c>
      <c r="M18" s="38" t="s">
        <v>43</v>
      </c>
      <c r="N18" s="38" t="s">
        <v>43</v>
      </c>
      <c r="O18" s="38" t="s">
        <v>43</v>
      </c>
      <c r="P18" s="38" t="s">
        <v>43</v>
      </c>
      <c r="Q18" s="38" t="s">
        <v>42</v>
      </c>
      <c r="R18" s="38" t="s">
        <v>42</v>
      </c>
      <c r="S18" s="38" t="str">
        <f t="shared" si="11"/>
        <v>WO</v>
      </c>
      <c r="T18" s="38" t="s">
        <v>43</v>
      </c>
      <c r="U18" s="38" t="s">
        <v>43</v>
      </c>
      <c r="V18" s="38" t="s">
        <v>43</v>
      </c>
      <c r="W18" s="38" t="s">
        <v>43</v>
      </c>
      <c r="X18" s="38" t="s">
        <v>43</v>
      </c>
      <c r="Y18" s="38" t="s">
        <v>43</v>
      </c>
      <c r="Z18" s="38" t="str">
        <f t="shared" si="11"/>
        <v>WO</v>
      </c>
      <c r="AA18" s="38" t="s">
        <v>43</v>
      </c>
      <c r="AB18" s="38" t="s">
        <v>43</v>
      </c>
      <c r="AC18" s="38" t="s">
        <v>43</v>
      </c>
      <c r="AD18" s="38" t="s">
        <v>43</v>
      </c>
      <c r="AE18" s="38" t="s">
        <v>44</v>
      </c>
      <c r="AF18" s="38" t="s">
        <v>43</v>
      </c>
      <c r="AG18" s="38" t="str">
        <f t="shared" si="10"/>
        <v>WO</v>
      </c>
      <c r="AH18" s="38" t="s">
        <v>43</v>
      </c>
      <c r="AI18" s="38" t="s">
        <v>43</v>
      </c>
      <c r="AJ18" s="38" t="s">
        <v>43</v>
      </c>
      <c r="AK18" s="38" t="s">
        <v>43</v>
      </c>
      <c r="AL18" s="38" t="s">
        <v>43</v>
      </c>
      <c r="AM18" s="38" t="s">
        <v>43</v>
      </c>
      <c r="AN18" s="38" t="str">
        <f t="shared" si="10"/>
        <v>WO</v>
      </c>
      <c r="AO18" s="39" t="s">
        <v>43</v>
      </c>
      <c r="AP18" s="31"/>
      <c r="AQ18" s="36"/>
      <c r="AR18" s="19">
        <v>10</v>
      </c>
      <c r="AS18" s="19">
        <v>1010</v>
      </c>
      <c r="AT18" s="19" t="str">
        <f t="shared" si="3"/>
        <v>March</v>
      </c>
      <c r="AU18" s="19" t="s">
        <v>12</v>
      </c>
      <c r="AV18" s="27">
        <f t="shared" si="4"/>
        <v>23</v>
      </c>
      <c r="AW18" s="22">
        <f t="shared" si="5"/>
        <v>1</v>
      </c>
      <c r="AX18" s="22">
        <f t="shared" si="6"/>
        <v>2</v>
      </c>
      <c r="AY18" s="22">
        <f t="shared" si="7"/>
        <v>5</v>
      </c>
      <c r="AZ18" s="22">
        <f t="shared" si="8"/>
        <v>31</v>
      </c>
      <c r="BA18" s="22">
        <f>Mar_Month[[#This Row],[Days]]-Mar_Month[[#This Row],[Absent]]</f>
        <v>30</v>
      </c>
      <c r="BB18" s="23">
        <v>45000</v>
      </c>
      <c r="BC18" s="23">
        <f>Mar_Month[[#This Row],[Salary]]/Mar_Month[[#This Row],[Days]]</f>
        <v>1451.6129032258063</v>
      </c>
      <c r="BD18" s="24">
        <f>Mar_Month[[#This Row],[PerDay Salary]]*Mar_Month[[#This Row],[Absent]]</f>
        <v>1451.6129032258063</v>
      </c>
      <c r="BE18" s="23">
        <f>Mar_Month[[#This Row],[Salary]]-Mar_Month[[#This Row],[Deduction]]</f>
        <v>43548.387096774197</v>
      </c>
      <c r="BF18" s="22"/>
      <c r="BG18" s="36"/>
    </row>
    <row r="19" spans="1:59" ht="15.75" x14ac:dyDescent="0.25">
      <c r="A19"/>
      <c r="B19"/>
      <c r="C19"/>
      <c r="D19" s="29"/>
      <c r="F19" s="31"/>
      <c r="G19" s="3">
        <v>11</v>
      </c>
      <c r="H19" s="4">
        <v>1011</v>
      </c>
      <c r="I19" s="5" t="s">
        <v>13</v>
      </c>
      <c r="J19" s="37">
        <f t="shared" si="9"/>
        <v>5</v>
      </c>
      <c r="K19" s="38" t="s">
        <v>43</v>
      </c>
      <c r="L19" s="38" t="str">
        <f t="shared" si="11"/>
        <v>WO</v>
      </c>
      <c r="M19" s="38" t="s">
        <v>43</v>
      </c>
      <c r="N19" s="38" t="s">
        <v>43</v>
      </c>
      <c r="O19" s="38" t="s">
        <v>43</v>
      </c>
      <c r="P19" s="38" t="s">
        <v>43</v>
      </c>
      <c r="Q19" s="38" t="s">
        <v>42</v>
      </c>
      <c r="R19" s="38" t="s">
        <v>42</v>
      </c>
      <c r="S19" s="38" t="str">
        <f t="shared" si="11"/>
        <v>WO</v>
      </c>
      <c r="T19" s="38" t="s">
        <v>43</v>
      </c>
      <c r="U19" s="38" t="s">
        <v>43</v>
      </c>
      <c r="V19" s="38" t="s">
        <v>43</v>
      </c>
      <c r="W19" s="38" t="s">
        <v>43</v>
      </c>
      <c r="X19" s="38" t="s">
        <v>43</v>
      </c>
      <c r="Y19" s="38" t="s">
        <v>43</v>
      </c>
      <c r="Z19" s="38" t="str">
        <f t="shared" si="11"/>
        <v>WO</v>
      </c>
      <c r="AA19" s="38" t="s">
        <v>43</v>
      </c>
      <c r="AB19" s="38" t="s">
        <v>43</v>
      </c>
      <c r="AC19" s="38" t="s">
        <v>43</v>
      </c>
      <c r="AD19" s="38" t="s">
        <v>43</v>
      </c>
      <c r="AE19" s="38" t="s">
        <v>43</v>
      </c>
      <c r="AF19" s="38" t="s">
        <v>43</v>
      </c>
      <c r="AG19" s="38" t="str">
        <f t="shared" si="10"/>
        <v>WO</v>
      </c>
      <c r="AH19" s="38" t="s">
        <v>43</v>
      </c>
      <c r="AI19" s="38" t="s">
        <v>43</v>
      </c>
      <c r="AJ19" s="38" t="s">
        <v>43</v>
      </c>
      <c r="AK19" s="38" t="s">
        <v>43</v>
      </c>
      <c r="AL19" s="38" t="s">
        <v>43</v>
      </c>
      <c r="AM19" s="38" t="s">
        <v>43</v>
      </c>
      <c r="AN19" s="38" t="str">
        <f t="shared" si="10"/>
        <v>WO</v>
      </c>
      <c r="AO19" s="39" t="s">
        <v>43</v>
      </c>
      <c r="AP19" s="31"/>
      <c r="AQ19" s="36"/>
      <c r="AR19" s="19">
        <v>11</v>
      </c>
      <c r="AS19" s="19">
        <v>1011</v>
      </c>
      <c r="AT19" s="19" t="str">
        <f t="shared" si="3"/>
        <v>March</v>
      </c>
      <c r="AU19" s="19" t="s">
        <v>13</v>
      </c>
      <c r="AV19" s="27">
        <f t="shared" si="4"/>
        <v>24</v>
      </c>
      <c r="AW19" s="22">
        <f t="shared" si="5"/>
        <v>0</v>
      </c>
      <c r="AX19" s="22">
        <f t="shared" si="6"/>
        <v>2</v>
      </c>
      <c r="AY19" s="22">
        <f t="shared" si="7"/>
        <v>5</v>
      </c>
      <c r="AZ19" s="22">
        <f t="shared" si="8"/>
        <v>31</v>
      </c>
      <c r="BA19" s="22">
        <f>Mar_Month[[#This Row],[Days]]-Mar_Month[[#This Row],[Absent]]</f>
        <v>31</v>
      </c>
      <c r="BB19" s="23">
        <v>48000</v>
      </c>
      <c r="BC19" s="23">
        <f>Mar_Month[[#This Row],[Salary]]/Mar_Month[[#This Row],[Days]]</f>
        <v>1548.3870967741937</v>
      </c>
      <c r="BD19" s="24">
        <f>Mar_Month[[#This Row],[PerDay Salary]]*Mar_Month[[#This Row],[Absent]]</f>
        <v>0</v>
      </c>
      <c r="BE19" s="23">
        <f>Mar_Month[[#This Row],[Salary]]-Mar_Month[[#This Row],[Deduction]]</f>
        <v>48000</v>
      </c>
      <c r="BF19" s="22"/>
      <c r="BG19" s="36"/>
    </row>
    <row r="20" spans="1:59" ht="15.75" x14ac:dyDescent="0.25">
      <c r="A20"/>
      <c r="B20"/>
      <c r="C20"/>
      <c r="D20" s="29"/>
      <c r="F20" s="31"/>
      <c r="G20" s="3">
        <v>12</v>
      </c>
      <c r="H20" s="4">
        <v>1012</v>
      </c>
      <c r="I20" s="5" t="s">
        <v>14</v>
      </c>
      <c r="J20" s="37">
        <f t="shared" si="9"/>
        <v>5</v>
      </c>
      <c r="K20" s="38" t="s">
        <v>43</v>
      </c>
      <c r="L20" s="38" t="str">
        <f t="shared" si="11"/>
        <v>WO</v>
      </c>
      <c r="M20" s="38" t="s">
        <v>43</v>
      </c>
      <c r="N20" s="38" t="s">
        <v>43</v>
      </c>
      <c r="O20" s="38" t="s">
        <v>43</v>
      </c>
      <c r="P20" s="38" t="s">
        <v>43</v>
      </c>
      <c r="Q20" s="38" t="s">
        <v>42</v>
      </c>
      <c r="R20" s="38" t="s">
        <v>42</v>
      </c>
      <c r="S20" s="38" t="str">
        <f t="shared" si="11"/>
        <v>WO</v>
      </c>
      <c r="T20" s="38" t="s">
        <v>43</v>
      </c>
      <c r="U20" s="38" t="s">
        <v>43</v>
      </c>
      <c r="V20" s="38" t="s">
        <v>43</v>
      </c>
      <c r="W20" s="38" t="s">
        <v>43</v>
      </c>
      <c r="X20" s="38" t="s">
        <v>43</v>
      </c>
      <c r="Y20" s="38" t="s">
        <v>43</v>
      </c>
      <c r="Z20" s="38" t="str">
        <f t="shared" si="11"/>
        <v>WO</v>
      </c>
      <c r="AA20" s="38" t="s">
        <v>43</v>
      </c>
      <c r="AB20" s="38" t="s">
        <v>43</v>
      </c>
      <c r="AC20" s="38" t="s">
        <v>43</v>
      </c>
      <c r="AD20" s="38" t="s">
        <v>43</v>
      </c>
      <c r="AE20" s="38" t="s">
        <v>43</v>
      </c>
      <c r="AF20" s="38" t="s">
        <v>43</v>
      </c>
      <c r="AG20" s="38" t="str">
        <f t="shared" si="10"/>
        <v>WO</v>
      </c>
      <c r="AH20" s="38" t="s">
        <v>43</v>
      </c>
      <c r="AI20" s="38" t="s">
        <v>43</v>
      </c>
      <c r="AJ20" s="38" t="s">
        <v>44</v>
      </c>
      <c r="AK20" s="38" t="s">
        <v>43</v>
      </c>
      <c r="AL20" s="38" t="s">
        <v>43</v>
      </c>
      <c r="AM20" s="38" t="s">
        <v>43</v>
      </c>
      <c r="AN20" s="38" t="str">
        <f t="shared" si="10"/>
        <v>WO</v>
      </c>
      <c r="AO20" s="39" t="s">
        <v>43</v>
      </c>
      <c r="AP20" s="31"/>
      <c r="AQ20" s="36"/>
      <c r="AR20" s="19">
        <v>12</v>
      </c>
      <c r="AS20" s="19">
        <v>1012</v>
      </c>
      <c r="AT20" s="19" t="str">
        <f t="shared" si="3"/>
        <v>March</v>
      </c>
      <c r="AU20" s="19" t="s">
        <v>14</v>
      </c>
      <c r="AV20" s="27">
        <f t="shared" si="4"/>
        <v>23</v>
      </c>
      <c r="AW20" s="22">
        <f t="shared" si="5"/>
        <v>1</v>
      </c>
      <c r="AX20" s="22">
        <f t="shared" si="6"/>
        <v>2</v>
      </c>
      <c r="AY20" s="22">
        <f t="shared" si="7"/>
        <v>5</v>
      </c>
      <c r="AZ20" s="22">
        <f t="shared" si="8"/>
        <v>31</v>
      </c>
      <c r="BA20" s="22">
        <f>Mar_Month[[#This Row],[Days]]-Mar_Month[[#This Row],[Absent]]</f>
        <v>30</v>
      </c>
      <c r="BB20" s="23">
        <v>52000</v>
      </c>
      <c r="BC20" s="23">
        <f>Mar_Month[[#This Row],[Salary]]/Mar_Month[[#This Row],[Days]]</f>
        <v>1677.4193548387098</v>
      </c>
      <c r="BD20" s="24">
        <f>Mar_Month[[#This Row],[PerDay Salary]]*Mar_Month[[#This Row],[Absent]]</f>
        <v>1677.4193548387098</v>
      </c>
      <c r="BE20" s="23">
        <f>Mar_Month[[#This Row],[Salary]]-Mar_Month[[#This Row],[Deduction]]</f>
        <v>50322.580645161288</v>
      </c>
      <c r="BF20" s="22"/>
      <c r="BG20" s="36"/>
    </row>
    <row r="21" spans="1:59" ht="15.75" x14ac:dyDescent="0.25">
      <c r="A21"/>
      <c r="B21"/>
      <c r="C21"/>
      <c r="D21" s="29"/>
      <c r="F21" s="31"/>
      <c r="G21" s="3">
        <v>13</v>
      </c>
      <c r="H21" s="4">
        <v>1013</v>
      </c>
      <c r="I21" s="5" t="s">
        <v>15</v>
      </c>
      <c r="J21" s="37">
        <f t="shared" si="9"/>
        <v>5</v>
      </c>
      <c r="K21" s="38" t="s">
        <v>43</v>
      </c>
      <c r="L21" s="38" t="str">
        <f t="shared" si="11"/>
        <v>WO</v>
      </c>
      <c r="M21" s="38" t="s">
        <v>43</v>
      </c>
      <c r="N21" s="38" t="s">
        <v>43</v>
      </c>
      <c r="O21" s="38" t="s">
        <v>43</v>
      </c>
      <c r="P21" s="38" t="s">
        <v>43</v>
      </c>
      <c r="Q21" s="38" t="s">
        <v>42</v>
      </c>
      <c r="R21" s="38" t="s">
        <v>42</v>
      </c>
      <c r="S21" s="38" t="str">
        <f t="shared" si="11"/>
        <v>WO</v>
      </c>
      <c r="T21" s="38" t="s">
        <v>43</v>
      </c>
      <c r="U21" s="38" t="s">
        <v>43</v>
      </c>
      <c r="V21" s="38" t="s">
        <v>43</v>
      </c>
      <c r="W21" s="38" t="s">
        <v>43</v>
      </c>
      <c r="X21" s="38" t="s">
        <v>43</v>
      </c>
      <c r="Y21" s="38" t="s">
        <v>43</v>
      </c>
      <c r="Z21" s="38" t="str">
        <f t="shared" si="11"/>
        <v>WO</v>
      </c>
      <c r="AA21" s="38" t="s">
        <v>43</v>
      </c>
      <c r="AB21" s="38" t="s">
        <v>43</v>
      </c>
      <c r="AC21" s="38" t="s">
        <v>43</v>
      </c>
      <c r="AD21" s="38" t="s">
        <v>43</v>
      </c>
      <c r="AE21" s="38" t="s">
        <v>43</v>
      </c>
      <c r="AF21" s="38" t="s">
        <v>43</v>
      </c>
      <c r="AG21" s="38" t="str">
        <f t="shared" si="10"/>
        <v>WO</v>
      </c>
      <c r="AH21" s="38" t="s">
        <v>43</v>
      </c>
      <c r="AI21" s="38" t="s">
        <v>43</v>
      </c>
      <c r="AJ21" s="38" t="s">
        <v>43</v>
      </c>
      <c r="AK21" s="38" t="s">
        <v>43</v>
      </c>
      <c r="AL21" s="38" t="s">
        <v>43</v>
      </c>
      <c r="AM21" s="38" t="s">
        <v>43</v>
      </c>
      <c r="AN21" s="38" t="str">
        <f t="shared" si="10"/>
        <v>WO</v>
      </c>
      <c r="AO21" s="39" t="s">
        <v>43</v>
      </c>
      <c r="AP21" s="31"/>
      <c r="AQ21" s="36"/>
      <c r="AR21" s="19">
        <v>13</v>
      </c>
      <c r="AS21" s="19">
        <v>1013</v>
      </c>
      <c r="AT21" s="19" t="str">
        <f t="shared" si="3"/>
        <v>March</v>
      </c>
      <c r="AU21" s="19" t="s">
        <v>15</v>
      </c>
      <c r="AV21" s="27">
        <f t="shared" si="4"/>
        <v>24</v>
      </c>
      <c r="AW21" s="22">
        <f t="shared" si="5"/>
        <v>0</v>
      </c>
      <c r="AX21" s="22">
        <f t="shared" si="6"/>
        <v>2</v>
      </c>
      <c r="AY21" s="22">
        <f t="shared" si="7"/>
        <v>5</v>
      </c>
      <c r="AZ21" s="22">
        <f t="shared" si="8"/>
        <v>31</v>
      </c>
      <c r="BA21" s="22">
        <f>Mar_Month[[#This Row],[Days]]-Mar_Month[[#This Row],[Absent]]</f>
        <v>31</v>
      </c>
      <c r="BB21" s="23">
        <v>42000</v>
      </c>
      <c r="BC21" s="23">
        <f>Mar_Month[[#This Row],[Salary]]/Mar_Month[[#This Row],[Days]]</f>
        <v>1354.8387096774193</v>
      </c>
      <c r="BD21" s="24">
        <f>Mar_Month[[#This Row],[PerDay Salary]]*Mar_Month[[#This Row],[Absent]]</f>
        <v>0</v>
      </c>
      <c r="BE21" s="23">
        <f>Mar_Month[[#This Row],[Salary]]-Mar_Month[[#This Row],[Deduction]]</f>
        <v>42000</v>
      </c>
      <c r="BF21" s="22"/>
      <c r="BG21" s="36"/>
    </row>
    <row r="22" spans="1:59" ht="15.75" x14ac:dyDescent="0.25">
      <c r="A22"/>
      <c r="B22"/>
      <c r="C22"/>
      <c r="D22" s="29"/>
      <c r="F22" s="31"/>
      <c r="G22" s="3">
        <v>14</v>
      </c>
      <c r="H22" s="4">
        <v>1014</v>
      </c>
      <c r="I22" s="5" t="s">
        <v>16</v>
      </c>
      <c r="J22" s="37">
        <f t="shared" si="9"/>
        <v>5</v>
      </c>
      <c r="K22" s="38" t="s">
        <v>43</v>
      </c>
      <c r="L22" s="38" t="str">
        <f t="shared" si="11"/>
        <v>WO</v>
      </c>
      <c r="M22" s="38" t="s">
        <v>43</v>
      </c>
      <c r="N22" s="38" t="s">
        <v>43</v>
      </c>
      <c r="O22" s="38" t="s">
        <v>43</v>
      </c>
      <c r="P22" s="38" t="s">
        <v>43</v>
      </c>
      <c r="Q22" s="38" t="s">
        <v>42</v>
      </c>
      <c r="R22" s="38" t="s">
        <v>42</v>
      </c>
      <c r="S22" s="38" t="str">
        <f t="shared" si="11"/>
        <v>WO</v>
      </c>
      <c r="T22" s="38" t="s">
        <v>43</v>
      </c>
      <c r="U22" s="38" t="s">
        <v>43</v>
      </c>
      <c r="V22" s="38" t="s">
        <v>43</v>
      </c>
      <c r="W22" s="38" t="s">
        <v>43</v>
      </c>
      <c r="X22" s="38" t="s">
        <v>44</v>
      </c>
      <c r="Y22" s="38" t="s">
        <v>43</v>
      </c>
      <c r="Z22" s="38" t="str">
        <f t="shared" si="11"/>
        <v>WO</v>
      </c>
      <c r="AA22" s="38" t="s">
        <v>43</v>
      </c>
      <c r="AB22" s="38" t="s">
        <v>43</v>
      </c>
      <c r="AC22" s="38" t="s">
        <v>43</v>
      </c>
      <c r="AD22" s="38" t="s">
        <v>43</v>
      </c>
      <c r="AE22" s="38" t="s">
        <v>43</v>
      </c>
      <c r="AF22" s="38" t="s">
        <v>43</v>
      </c>
      <c r="AG22" s="38" t="str">
        <f t="shared" si="10"/>
        <v>WO</v>
      </c>
      <c r="AH22" s="38" t="s">
        <v>43</v>
      </c>
      <c r="AI22" s="38" t="s">
        <v>43</v>
      </c>
      <c r="AJ22" s="38" t="s">
        <v>43</v>
      </c>
      <c r="AK22" s="38" t="s">
        <v>43</v>
      </c>
      <c r="AL22" s="38" t="s">
        <v>43</v>
      </c>
      <c r="AM22" s="38" t="s">
        <v>43</v>
      </c>
      <c r="AN22" s="38" t="str">
        <f t="shared" si="10"/>
        <v>WO</v>
      </c>
      <c r="AO22" s="39" t="s">
        <v>43</v>
      </c>
      <c r="AP22" s="31"/>
      <c r="AQ22" s="36"/>
      <c r="AR22" s="19">
        <v>14</v>
      </c>
      <c r="AS22" s="19">
        <v>1014</v>
      </c>
      <c r="AT22" s="19" t="str">
        <f t="shared" si="3"/>
        <v>March</v>
      </c>
      <c r="AU22" s="19" t="s">
        <v>16</v>
      </c>
      <c r="AV22" s="27">
        <f t="shared" si="4"/>
        <v>23</v>
      </c>
      <c r="AW22" s="22">
        <f t="shared" si="5"/>
        <v>1</v>
      </c>
      <c r="AX22" s="22">
        <f t="shared" si="6"/>
        <v>2</v>
      </c>
      <c r="AY22" s="22">
        <f t="shared" si="7"/>
        <v>5</v>
      </c>
      <c r="AZ22" s="22">
        <f t="shared" si="8"/>
        <v>31</v>
      </c>
      <c r="BA22" s="22">
        <f>Mar_Month[[#This Row],[Days]]-Mar_Month[[#This Row],[Absent]]</f>
        <v>30</v>
      </c>
      <c r="BB22" s="23">
        <v>15000</v>
      </c>
      <c r="BC22" s="23">
        <f>Mar_Month[[#This Row],[Salary]]/Mar_Month[[#This Row],[Days]]</f>
        <v>483.87096774193549</v>
      </c>
      <c r="BD22" s="24">
        <f>Mar_Month[[#This Row],[PerDay Salary]]*Mar_Month[[#This Row],[Absent]]</f>
        <v>483.87096774193549</v>
      </c>
      <c r="BE22" s="23">
        <f>Mar_Month[[#This Row],[Salary]]-Mar_Month[[#This Row],[Deduction]]</f>
        <v>14516.129032258064</v>
      </c>
      <c r="BF22" s="22"/>
      <c r="BG22" s="36"/>
    </row>
    <row r="23" spans="1:59" ht="15.75" x14ac:dyDescent="0.25">
      <c r="A23"/>
      <c r="B23"/>
      <c r="C23"/>
      <c r="D23" s="29"/>
      <c r="F23" s="31"/>
      <c r="G23" s="3">
        <v>15</v>
      </c>
      <c r="H23" s="4">
        <v>1015</v>
      </c>
      <c r="I23" s="5" t="s">
        <v>17</v>
      </c>
      <c r="J23" s="37">
        <f t="shared" si="9"/>
        <v>5</v>
      </c>
      <c r="K23" s="38" t="s">
        <v>43</v>
      </c>
      <c r="L23" s="38" t="str">
        <f t="shared" si="11"/>
        <v>WO</v>
      </c>
      <c r="M23" s="38" t="s">
        <v>43</v>
      </c>
      <c r="N23" s="38" t="s">
        <v>43</v>
      </c>
      <c r="O23" s="38" t="s">
        <v>43</v>
      </c>
      <c r="P23" s="38" t="s">
        <v>43</v>
      </c>
      <c r="Q23" s="38" t="s">
        <v>42</v>
      </c>
      <c r="R23" s="38" t="s">
        <v>42</v>
      </c>
      <c r="S23" s="38" t="str">
        <f t="shared" si="11"/>
        <v>WO</v>
      </c>
      <c r="T23" s="38" t="s">
        <v>43</v>
      </c>
      <c r="U23" s="38" t="s">
        <v>43</v>
      </c>
      <c r="V23" s="38" t="s">
        <v>43</v>
      </c>
      <c r="W23" s="38" t="s">
        <v>43</v>
      </c>
      <c r="X23" s="38" t="s">
        <v>43</v>
      </c>
      <c r="Y23" s="38" t="s">
        <v>43</v>
      </c>
      <c r="Z23" s="38" t="str">
        <f t="shared" si="11"/>
        <v>WO</v>
      </c>
      <c r="AA23" s="38" t="s">
        <v>43</v>
      </c>
      <c r="AB23" s="38" t="s">
        <v>43</v>
      </c>
      <c r="AC23" s="38" t="s">
        <v>43</v>
      </c>
      <c r="AD23" s="38" t="s">
        <v>43</v>
      </c>
      <c r="AE23" s="38" t="s">
        <v>43</v>
      </c>
      <c r="AF23" s="38" t="s">
        <v>43</v>
      </c>
      <c r="AG23" s="38" t="str">
        <f t="shared" si="10"/>
        <v>WO</v>
      </c>
      <c r="AH23" s="38" t="s">
        <v>43</v>
      </c>
      <c r="AI23" s="38" t="s">
        <v>43</v>
      </c>
      <c r="AJ23" s="38" t="s">
        <v>43</v>
      </c>
      <c r="AK23" s="38" t="s">
        <v>43</v>
      </c>
      <c r="AL23" s="38" t="s">
        <v>43</v>
      </c>
      <c r="AM23" s="38" t="s">
        <v>43</v>
      </c>
      <c r="AN23" s="38" t="str">
        <f t="shared" si="10"/>
        <v>WO</v>
      </c>
      <c r="AO23" s="39" t="s">
        <v>43</v>
      </c>
      <c r="AP23" s="31"/>
      <c r="AQ23" s="36"/>
      <c r="AR23" s="19">
        <v>15</v>
      </c>
      <c r="AS23" s="19">
        <v>1015</v>
      </c>
      <c r="AT23" s="19" t="str">
        <f t="shared" si="3"/>
        <v>March</v>
      </c>
      <c r="AU23" s="19" t="s">
        <v>17</v>
      </c>
      <c r="AV23" s="27">
        <f t="shared" si="4"/>
        <v>24</v>
      </c>
      <c r="AW23" s="22">
        <f t="shared" si="5"/>
        <v>0</v>
      </c>
      <c r="AX23" s="22">
        <f t="shared" si="6"/>
        <v>2</v>
      </c>
      <c r="AY23" s="22">
        <f t="shared" si="7"/>
        <v>5</v>
      </c>
      <c r="AZ23" s="22">
        <f t="shared" si="8"/>
        <v>31</v>
      </c>
      <c r="BA23" s="22">
        <f>Mar_Month[[#This Row],[Days]]-Mar_Month[[#This Row],[Absent]]</f>
        <v>31</v>
      </c>
      <c r="BB23" s="23">
        <v>46000</v>
      </c>
      <c r="BC23" s="23">
        <f>Mar_Month[[#This Row],[Salary]]/Mar_Month[[#This Row],[Days]]</f>
        <v>1483.8709677419354</v>
      </c>
      <c r="BD23" s="24">
        <f>Mar_Month[[#This Row],[PerDay Salary]]*Mar_Month[[#This Row],[Absent]]</f>
        <v>0</v>
      </c>
      <c r="BE23" s="23">
        <f>Mar_Month[[#This Row],[Salary]]-Mar_Month[[#This Row],[Deduction]]</f>
        <v>46000</v>
      </c>
      <c r="BF23" s="22"/>
      <c r="BG23" s="36"/>
    </row>
    <row r="24" spans="1:59" ht="15.75" x14ac:dyDescent="0.25">
      <c r="A24"/>
      <c r="B24"/>
      <c r="C24"/>
      <c r="D24" s="29"/>
      <c r="F24" s="31"/>
      <c r="G24" s="3">
        <v>16</v>
      </c>
      <c r="H24" s="4">
        <v>1016</v>
      </c>
      <c r="I24" s="5" t="s">
        <v>18</v>
      </c>
      <c r="J24" s="37">
        <f t="shared" si="9"/>
        <v>5</v>
      </c>
      <c r="K24" s="38" t="s">
        <v>43</v>
      </c>
      <c r="L24" s="38" t="str">
        <f t="shared" si="11"/>
        <v>WO</v>
      </c>
      <c r="M24" s="38" t="s">
        <v>43</v>
      </c>
      <c r="N24" s="38" t="s">
        <v>43</v>
      </c>
      <c r="O24" s="38" t="s">
        <v>43</v>
      </c>
      <c r="P24" s="38" t="s">
        <v>43</v>
      </c>
      <c r="Q24" s="38" t="s">
        <v>42</v>
      </c>
      <c r="R24" s="38" t="s">
        <v>42</v>
      </c>
      <c r="S24" s="38" t="str">
        <f t="shared" si="11"/>
        <v>WO</v>
      </c>
      <c r="T24" s="38" t="s">
        <v>43</v>
      </c>
      <c r="U24" s="38" t="s">
        <v>43</v>
      </c>
      <c r="V24" s="38" t="s">
        <v>43</v>
      </c>
      <c r="W24" s="38" t="s">
        <v>43</v>
      </c>
      <c r="X24" s="38" t="s">
        <v>43</v>
      </c>
      <c r="Y24" s="38" t="s">
        <v>43</v>
      </c>
      <c r="Z24" s="38" t="str">
        <f t="shared" si="11"/>
        <v>WO</v>
      </c>
      <c r="AA24" s="38" t="s">
        <v>44</v>
      </c>
      <c r="AB24" s="38" t="s">
        <v>43</v>
      </c>
      <c r="AC24" s="38" t="s">
        <v>43</v>
      </c>
      <c r="AD24" s="38" t="s">
        <v>43</v>
      </c>
      <c r="AE24" s="38" t="s">
        <v>43</v>
      </c>
      <c r="AF24" s="38" t="s">
        <v>43</v>
      </c>
      <c r="AG24" s="38" t="str">
        <f t="shared" si="10"/>
        <v>WO</v>
      </c>
      <c r="AH24" s="38" t="s">
        <v>43</v>
      </c>
      <c r="AI24" s="38" t="s">
        <v>43</v>
      </c>
      <c r="AJ24" s="38" t="s">
        <v>43</v>
      </c>
      <c r="AK24" s="38" t="s">
        <v>43</v>
      </c>
      <c r="AL24" s="38" t="s">
        <v>43</v>
      </c>
      <c r="AM24" s="38" t="s">
        <v>43</v>
      </c>
      <c r="AN24" s="38" t="str">
        <f t="shared" si="10"/>
        <v>WO</v>
      </c>
      <c r="AO24" s="39" t="s">
        <v>44</v>
      </c>
      <c r="AP24" s="31"/>
      <c r="AQ24" s="36"/>
      <c r="AR24" s="19">
        <v>16</v>
      </c>
      <c r="AS24" s="19">
        <v>1016</v>
      </c>
      <c r="AT24" s="19" t="str">
        <f t="shared" si="3"/>
        <v>March</v>
      </c>
      <c r="AU24" s="19" t="s">
        <v>18</v>
      </c>
      <c r="AV24" s="27">
        <f t="shared" si="4"/>
        <v>22</v>
      </c>
      <c r="AW24" s="22">
        <f t="shared" si="5"/>
        <v>2</v>
      </c>
      <c r="AX24" s="22">
        <f t="shared" si="6"/>
        <v>2</v>
      </c>
      <c r="AY24" s="22">
        <f t="shared" si="7"/>
        <v>5</v>
      </c>
      <c r="AZ24" s="22">
        <f t="shared" si="8"/>
        <v>31</v>
      </c>
      <c r="BA24" s="22">
        <f>Mar_Month[[#This Row],[Days]]-Mar_Month[[#This Row],[Absent]]</f>
        <v>29</v>
      </c>
      <c r="BB24" s="23">
        <v>52000</v>
      </c>
      <c r="BC24" s="23">
        <f>Mar_Month[[#This Row],[Salary]]/Mar_Month[[#This Row],[Days]]</f>
        <v>1677.4193548387098</v>
      </c>
      <c r="BD24" s="24">
        <f>Mar_Month[[#This Row],[PerDay Salary]]*Mar_Month[[#This Row],[Absent]]</f>
        <v>3354.8387096774195</v>
      </c>
      <c r="BE24" s="23">
        <f>Mar_Month[[#This Row],[Salary]]-Mar_Month[[#This Row],[Deduction]]</f>
        <v>48645.161290322583</v>
      </c>
      <c r="BF24" s="22"/>
      <c r="BG24" s="36"/>
    </row>
    <row r="25" spans="1:59" ht="15.75" x14ac:dyDescent="0.25">
      <c r="A25"/>
      <c r="B25"/>
      <c r="C25"/>
      <c r="D25" s="29"/>
      <c r="F25" s="31"/>
      <c r="G25" s="3">
        <v>17</v>
      </c>
      <c r="H25" s="4">
        <v>1017</v>
      </c>
      <c r="I25" s="5" t="s">
        <v>19</v>
      </c>
      <c r="J25" s="37">
        <f t="shared" si="9"/>
        <v>5</v>
      </c>
      <c r="K25" s="38" t="s">
        <v>43</v>
      </c>
      <c r="L25" s="38" t="str">
        <f t="shared" si="11"/>
        <v>WO</v>
      </c>
      <c r="M25" s="38" t="s">
        <v>43</v>
      </c>
      <c r="N25" s="38" t="s">
        <v>43</v>
      </c>
      <c r="O25" s="38" t="s">
        <v>43</v>
      </c>
      <c r="P25" s="38" t="s">
        <v>43</v>
      </c>
      <c r="Q25" s="38" t="s">
        <v>42</v>
      </c>
      <c r="R25" s="38" t="s">
        <v>42</v>
      </c>
      <c r="S25" s="38" t="str">
        <f t="shared" si="11"/>
        <v>WO</v>
      </c>
      <c r="T25" s="38" t="s">
        <v>43</v>
      </c>
      <c r="U25" s="38" t="s">
        <v>43</v>
      </c>
      <c r="V25" s="38" t="s">
        <v>43</v>
      </c>
      <c r="W25" s="38" t="s">
        <v>43</v>
      </c>
      <c r="X25" s="38" t="s">
        <v>43</v>
      </c>
      <c r="Y25" s="38" t="s">
        <v>43</v>
      </c>
      <c r="Z25" s="38" t="str">
        <f t="shared" si="11"/>
        <v>WO</v>
      </c>
      <c r="AA25" s="38" t="s">
        <v>43</v>
      </c>
      <c r="AB25" s="38" t="s">
        <v>43</v>
      </c>
      <c r="AC25" s="38" t="s">
        <v>43</v>
      </c>
      <c r="AD25" s="38" t="s">
        <v>43</v>
      </c>
      <c r="AE25" s="38" t="s">
        <v>43</v>
      </c>
      <c r="AF25" s="38" t="s">
        <v>43</v>
      </c>
      <c r="AG25" s="38" t="str">
        <f t="shared" si="10"/>
        <v>WO</v>
      </c>
      <c r="AH25" s="38" t="s">
        <v>43</v>
      </c>
      <c r="AI25" s="38" t="s">
        <v>43</v>
      </c>
      <c r="AJ25" s="38" t="s">
        <v>43</v>
      </c>
      <c r="AK25" s="38" t="s">
        <v>43</v>
      </c>
      <c r="AL25" s="38" t="s">
        <v>43</v>
      </c>
      <c r="AM25" s="38" t="s">
        <v>43</v>
      </c>
      <c r="AN25" s="38" t="str">
        <f t="shared" si="10"/>
        <v>WO</v>
      </c>
      <c r="AO25" s="39" t="s">
        <v>43</v>
      </c>
      <c r="AP25" s="31"/>
      <c r="AQ25" s="36"/>
      <c r="AR25" s="19">
        <v>17</v>
      </c>
      <c r="AS25" s="19">
        <v>1017</v>
      </c>
      <c r="AT25" s="19" t="str">
        <f t="shared" si="3"/>
        <v>March</v>
      </c>
      <c r="AU25" s="19" t="s">
        <v>19</v>
      </c>
      <c r="AV25" s="27">
        <f t="shared" si="4"/>
        <v>24</v>
      </c>
      <c r="AW25" s="22">
        <f t="shared" si="5"/>
        <v>0</v>
      </c>
      <c r="AX25" s="22">
        <f t="shared" si="6"/>
        <v>2</v>
      </c>
      <c r="AY25" s="22">
        <f t="shared" si="7"/>
        <v>5</v>
      </c>
      <c r="AZ25" s="22">
        <f t="shared" si="8"/>
        <v>31</v>
      </c>
      <c r="BA25" s="22">
        <f>Mar_Month[[#This Row],[Days]]-Mar_Month[[#This Row],[Absent]]</f>
        <v>31</v>
      </c>
      <c r="BB25" s="23">
        <v>42000</v>
      </c>
      <c r="BC25" s="23">
        <f>Mar_Month[[#This Row],[Salary]]/Mar_Month[[#This Row],[Days]]</f>
        <v>1354.8387096774193</v>
      </c>
      <c r="BD25" s="24">
        <f>Mar_Month[[#This Row],[PerDay Salary]]*Mar_Month[[#This Row],[Absent]]</f>
        <v>0</v>
      </c>
      <c r="BE25" s="23">
        <f>Mar_Month[[#This Row],[Salary]]-Mar_Month[[#This Row],[Deduction]]</f>
        <v>42000</v>
      </c>
      <c r="BF25" s="22"/>
      <c r="BG25" s="36"/>
    </row>
    <row r="26" spans="1:59" ht="15.75" x14ac:dyDescent="0.25">
      <c r="A26"/>
      <c r="B26"/>
      <c r="C26"/>
      <c r="D26" s="29"/>
      <c r="F26" s="31"/>
      <c r="G26" s="3">
        <v>18</v>
      </c>
      <c r="H26" s="4">
        <v>1018</v>
      </c>
      <c r="I26" s="5" t="s">
        <v>20</v>
      </c>
      <c r="J26" s="37">
        <f t="shared" si="9"/>
        <v>5</v>
      </c>
      <c r="K26" s="38" t="s">
        <v>43</v>
      </c>
      <c r="L26" s="38" t="str">
        <f t="shared" si="11"/>
        <v>WO</v>
      </c>
      <c r="M26" s="38" t="s">
        <v>43</v>
      </c>
      <c r="N26" s="38" t="s">
        <v>43</v>
      </c>
      <c r="O26" s="38" t="s">
        <v>43</v>
      </c>
      <c r="P26" s="38" t="s">
        <v>43</v>
      </c>
      <c r="Q26" s="38" t="s">
        <v>42</v>
      </c>
      <c r="R26" s="38" t="s">
        <v>42</v>
      </c>
      <c r="S26" s="38" t="str">
        <f t="shared" si="11"/>
        <v>WO</v>
      </c>
      <c r="T26" s="38" t="s">
        <v>43</v>
      </c>
      <c r="U26" s="38" t="s">
        <v>43</v>
      </c>
      <c r="V26" s="38" t="s">
        <v>43</v>
      </c>
      <c r="W26" s="38" t="s">
        <v>43</v>
      </c>
      <c r="X26" s="38" t="s">
        <v>43</v>
      </c>
      <c r="Y26" s="38" t="s">
        <v>43</v>
      </c>
      <c r="Z26" s="38" t="str">
        <f t="shared" si="11"/>
        <v>WO</v>
      </c>
      <c r="AA26" s="38" t="s">
        <v>43</v>
      </c>
      <c r="AB26" s="38" t="s">
        <v>43</v>
      </c>
      <c r="AC26" s="38" t="s">
        <v>43</v>
      </c>
      <c r="AD26" s="38" t="s">
        <v>43</v>
      </c>
      <c r="AE26" s="38" t="s">
        <v>43</v>
      </c>
      <c r="AF26" s="38" t="s">
        <v>43</v>
      </c>
      <c r="AG26" s="38" t="str">
        <f t="shared" si="10"/>
        <v>WO</v>
      </c>
      <c r="AH26" s="38" t="s">
        <v>43</v>
      </c>
      <c r="AI26" s="38" t="s">
        <v>43</v>
      </c>
      <c r="AJ26" s="38" t="s">
        <v>43</v>
      </c>
      <c r="AK26" s="38" t="s">
        <v>43</v>
      </c>
      <c r="AL26" s="38" t="s">
        <v>43</v>
      </c>
      <c r="AM26" s="38" t="s">
        <v>43</v>
      </c>
      <c r="AN26" s="38" t="str">
        <f t="shared" si="10"/>
        <v>WO</v>
      </c>
      <c r="AO26" s="39" t="s">
        <v>43</v>
      </c>
      <c r="AP26" s="31"/>
      <c r="AQ26" s="36"/>
      <c r="AR26" s="19">
        <v>18</v>
      </c>
      <c r="AS26" s="19">
        <v>1018</v>
      </c>
      <c r="AT26" s="19" t="str">
        <f t="shared" si="3"/>
        <v>March</v>
      </c>
      <c r="AU26" s="19" t="s">
        <v>20</v>
      </c>
      <c r="AV26" s="27">
        <f t="shared" si="4"/>
        <v>24</v>
      </c>
      <c r="AW26" s="22">
        <f t="shared" si="5"/>
        <v>0</v>
      </c>
      <c r="AX26" s="22">
        <f t="shared" si="6"/>
        <v>2</v>
      </c>
      <c r="AY26" s="22">
        <f t="shared" si="7"/>
        <v>5</v>
      </c>
      <c r="AZ26" s="22">
        <f t="shared" si="8"/>
        <v>31</v>
      </c>
      <c r="BA26" s="22">
        <f>Mar_Month[[#This Row],[Days]]-Mar_Month[[#This Row],[Absent]]</f>
        <v>31</v>
      </c>
      <c r="BB26" s="23">
        <v>62000</v>
      </c>
      <c r="BC26" s="23">
        <f>Mar_Month[[#This Row],[Salary]]/Mar_Month[[#This Row],[Days]]</f>
        <v>2000</v>
      </c>
      <c r="BD26" s="24">
        <f>Mar_Month[[#This Row],[PerDay Salary]]*Mar_Month[[#This Row],[Absent]]</f>
        <v>0</v>
      </c>
      <c r="BE26" s="23">
        <f>Mar_Month[[#This Row],[Salary]]-Mar_Month[[#This Row],[Deduction]]</f>
        <v>62000</v>
      </c>
      <c r="BF26" s="22"/>
      <c r="BG26" s="36"/>
    </row>
    <row r="27" spans="1:59" ht="15.75" x14ac:dyDescent="0.25">
      <c r="A27"/>
      <c r="B27"/>
      <c r="C27"/>
      <c r="D27" s="29"/>
      <c r="F27" s="31"/>
      <c r="G27" s="3">
        <v>19</v>
      </c>
      <c r="H27" s="4">
        <v>1019</v>
      </c>
      <c r="I27" s="5" t="s">
        <v>21</v>
      </c>
      <c r="J27" s="37">
        <f t="shared" si="9"/>
        <v>5</v>
      </c>
      <c r="K27" s="38" t="s">
        <v>43</v>
      </c>
      <c r="L27" s="38" t="str">
        <f t="shared" si="11"/>
        <v>WO</v>
      </c>
      <c r="M27" s="38" t="s">
        <v>43</v>
      </c>
      <c r="N27" s="38" t="s">
        <v>43</v>
      </c>
      <c r="O27" s="38" t="s">
        <v>44</v>
      </c>
      <c r="P27" s="38" t="s">
        <v>43</v>
      </c>
      <c r="Q27" s="38" t="s">
        <v>42</v>
      </c>
      <c r="R27" s="38" t="s">
        <v>42</v>
      </c>
      <c r="S27" s="38" t="str">
        <f t="shared" si="11"/>
        <v>WO</v>
      </c>
      <c r="T27" s="38" t="s">
        <v>43</v>
      </c>
      <c r="U27" s="38" t="s">
        <v>43</v>
      </c>
      <c r="V27" s="38" t="s">
        <v>43</v>
      </c>
      <c r="W27" s="38" t="s">
        <v>43</v>
      </c>
      <c r="X27" s="38" t="s">
        <v>43</v>
      </c>
      <c r="Y27" s="38" t="s">
        <v>43</v>
      </c>
      <c r="Z27" s="38" t="str">
        <f t="shared" si="11"/>
        <v>WO</v>
      </c>
      <c r="AA27" s="38" t="s">
        <v>43</v>
      </c>
      <c r="AB27" s="38" t="s">
        <v>43</v>
      </c>
      <c r="AC27" s="38" t="s">
        <v>43</v>
      </c>
      <c r="AD27" s="38" t="s">
        <v>43</v>
      </c>
      <c r="AE27" s="38" t="s">
        <v>43</v>
      </c>
      <c r="AF27" s="38" t="s">
        <v>43</v>
      </c>
      <c r="AG27" s="38" t="str">
        <f t="shared" si="10"/>
        <v>WO</v>
      </c>
      <c r="AH27" s="38" t="s">
        <v>43</v>
      </c>
      <c r="AI27" s="38" t="s">
        <v>43</v>
      </c>
      <c r="AJ27" s="38" t="s">
        <v>43</v>
      </c>
      <c r="AK27" s="38" t="s">
        <v>43</v>
      </c>
      <c r="AL27" s="38" t="s">
        <v>43</v>
      </c>
      <c r="AM27" s="38" t="s">
        <v>43</v>
      </c>
      <c r="AN27" s="38" t="str">
        <f t="shared" si="10"/>
        <v>WO</v>
      </c>
      <c r="AO27" s="39" t="s">
        <v>43</v>
      </c>
      <c r="AP27" s="31"/>
      <c r="AQ27" s="36"/>
      <c r="AR27" s="19">
        <v>19</v>
      </c>
      <c r="AS27" s="19">
        <v>1019</v>
      </c>
      <c r="AT27" s="19" t="str">
        <f t="shared" si="3"/>
        <v>March</v>
      </c>
      <c r="AU27" s="19" t="s">
        <v>21</v>
      </c>
      <c r="AV27" s="27">
        <f t="shared" si="4"/>
        <v>23</v>
      </c>
      <c r="AW27" s="22">
        <f t="shared" si="5"/>
        <v>1</v>
      </c>
      <c r="AX27" s="22">
        <f t="shared" si="6"/>
        <v>2</v>
      </c>
      <c r="AY27" s="22">
        <f t="shared" si="7"/>
        <v>5</v>
      </c>
      <c r="AZ27" s="22">
        <f t="shared" si="8"/>
        <v>31</v>
      </c>
      <c r="BA27" s="22">
        <f>Mar_Month[[#This Row],[Days]]-Mar_Month[[#This Row],[Absent]]</f>
        <v>30</v>
      </c>
      <c r="BB27" s="23">
        <v>41000</v>
      </c>
      <c r="BC27" s="23">
        <f>Mar_Month[[#This Row],[Salary]]/Mar_Month[[#This Row],[Days]]</f>
        <v>1322.5806451612902</v>
      </c>
      <c r="BD27" s="24">
        <f>Mar_Month[[#This Row],[PerDay Salary]]*Mar_Month[[#This Row],[Absent]]</f>
        <v>1322.5806451612902</v>
      </c>
      <c r="BE27" s="23">
        <f>Mar_Month[[#This Row],[Salary]]-Mar_Month[[#This Row],[Deduction]]</f>
        <v>39677.419354838712</v>
      </c>
      <c r="BF27" s="22"/>
      <c r="BG27" s="36"/>
    </row>
    <row r="28" spans="1:59" ht="16.5" thickBot="1" x14ac:dyDescent="0.3">
      <c r="A28"/>
      <c r="B28"/>
      <c r="C28"/>
      <c r="D28" s="29"/>
      <c r="F28" s="31"/>
      <c r="G28" s="6">
        <v>20</v>
      </c>
      <c r="H28" s="7">
        <v>1020</v>
      </c>
      <c r="I28" s="8" t="s">
        <v>22</v>
      </c>
      <c r="J28" s="40">
        <f t="shared" si="9"/>
        <v>5</v>
      </c>
      <c r="K28" s="41" t="s">
        <v>43</v>
      </c>
      <c r="L28" s="41" t="str">
        <f t="shared" si="11"/>
        <v>WO</v>
      </c>
      <c r="M28" s="41" t="s">
        <v>43</v>
      </c>
      <c r="N28" s="41" t="s">
        <v>43</v>
      </c>
      <c r="O28" s="41" t="s">
        <v>43</v>
      </c>
      <c r="P28" s="41" t="s">
        <v>43</v>
      </c>
      <c r="Q28" s="41" t="s">
        <v>42</v>
      </c>
      <c r="R28" s="41" t="s">
        <v>42</v>
      </c>
      <c r="S28" s="41" t="str">
        <f t="shared" si="11"/>
        <v>WO</v>
      </c>
      <c r="T28" s="41" t="s">
        <v>43</v>
      </c>
      <c r="U28" s="41" t="s">
        <v>43</v>
      </c>
      <c r="V28" s="41" t="s">
        <v>43</v>
      </c>
      <c r="W28" s="41" t="s">
        <v>43</v>
      </c>
      <c r="X28" s="41" t="s">
        <v>43</v>
      </c>
      <c r="Y28" s="41" t="s">
        <v>43</v>
      </c>
      <c r="Z28" s="41" t="str">
        <f t="shared" si="11"/>
        <v>WO</v>
      </c>
      <c r="AA28" s="41" t="s">
        <v>43</v>
      </c>
      <c r="AB28" s="41" t="s">
        <v>43</v>
      </c>
      <c r="AC28" s="41" t="s">
        <v>43</v>
      </c>
      <c r="AD28" s="41" t="s">
        <v>43</v>
      </c>
      <c r="AE28" s="41" t="s">
        <v>43</v>
      </c>
      <c r="AF28" s="41" t="s">
        <v>43</v>
      </c>
      <c r="AG28" s="41" t="str">
        <f t="shared" si="10"/>
        <v>WO</v>
      </c>
      <c r="AH28" s="41" t="s">
        <v>43</v>
      </c>
      <c r="AI28" s="41" t="s">
        <v>44</v>
      </c>
      <c r="AJ28" s="41" t="s">
        <v>43</v>
      </c>
      <c r="AK28" s="41" t="s">
        <v>43</v>
      </c>
      <c r="AL28" s="41" t="s">
        <v>43</v>
      </c>
      <c r="AM28" s="41" t="s">
        <v>43</v>
      </c>
      <c r="AN28" s="41" t="str">
        <f t="shared" si="10"/>
        <v>WO</v>
      </c>
      <c r="AO28" s="42" t="s">
        <v>43</v>
      </c>
      <c r="AP28" s="31"/>
      <c r="AQ28" s="36"/>
      <c r="AR28" s="19">
        <v>20</v>
      </c>
      <c r="AS28" s="19">
        <v>1020</v>
      </c>
      <c r="AT28" s="19" t="str">
        <f t="shared" si="3"/>
        <v>March</v>
      </c>
      <c r="AU28" s="19" t="s">
        <v>22</v>
      </c>
      <c r="AV28" s="27">
        <f t="shared" si="4"/>
        <v>23</v>
      </c>
      <c r="AW28" s="22">
        <f t="shared" si="5"/>
        <v>1</v>
      </c>
      <c r="AX28" s="22">
        <f t="shared" si="6"/>
        <v>2</v>
      </c>
      <c r="AY28" s="22">
        <f t="shared" si="7"/>
        <v>5</v>
      </c>
      <c r="AZ28" s="22">
        <f t="shared" si="8"/>
        <v>31</v>
      </c>
      <c r="BA28" s="22">
        <f>Mar_Month[[#This Row],[Days]]-Mar_Month[[#This Row],[Absent]]</f>
        <v>30</v>
      </c>
      <c r="BB28" s="23">
        <v>30000</v>
      </c>
      <c r="BC28" s="23">
        <f>Mar_Month[[#This Row],[Salary]]/Mar_Month[[#This Row],[Days]]</f>
        <v>967.74193548387098</v>
      </c>
      <c r="BD28" s="24">
        <f>Mar_Month[[#This Row],[PerDay Salary]]*Mar_Month[[#This Row],[Absent]]</f>
        <v>967.74193548387098</v>
      </c>
      <c r="BE28" s="23">
        <f>Mar_Month[[#This Row],[Salary]]-Mar_Month[[#This Row],[Deduction]]</f>
        <v>29032.258064516129</v>
      </c>
      <c r="BF28" s="22"/>
      <c r="BG28" s="36"/>
    </row>
    <row r="29" spans="1:59" ht="15.75" thickTop="1" x14ac:dyDescent="0.25">
      <c r="A29"/>
      <c r="B29"/>
      <c r="C29"/>
      <c r="D29" s="29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x14ac:dyDescent="0.25">
      <c r="D30" s="29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</row>
    <row r="31" spans="1:59" x14ac:dyDescent="0.25">
      <c r="D31" s="29"/>
    </row>
    <row r="32" spans="1:59" x14ac:dyDescent="0.25">
      <c r="D32" s="29"/>
    </row>
    <row r="33" spans="4:4" x14ac:dyDescent="0.25">
      <c r="D33" s="29"/>
    </row>
    <row r="34" spans="4:4" x14ac:dyDescent="0.25">
      <c r="D34" s="29"/>
    </row>
    <row r="35" spans="4:4" x14ac:dyDescent="0.25">
      <c r="D35" s="29"/>
    </row>
    <row r="36" spans="4:4" x14ac:dyDescent="0.25">
      <c r="D36" s="29"/>
    </row>
    <row r="37" spans="4:4" x14ac:dyDescent="0.25">
      <c r="D37" s="29"/>
    </row>
    <row r="38" spans="4:4" x14ac:dyDescent="0.25">
      <c r="D38" s="29"/>
    </row>
    <row r="39" spans="4:4" x14ac:dyDescent="0.25">
      <c r="D39" s="29"/>
    </row>
    <row r="40" spans="4:4" x14ac:dyDescent="0.25">
      <c r="D40" s="29"/>
    </row>
    <row r="41" spans="4:4" x14ac:dyDescent="0.25">
      <c r="D41" s="29"/>
    </row>
    <row r="42" spans="4:4" x14ac:dyDescent="0.25">
      <c r="D42" s="29"/>
    </row>
    <row r="43" spans="4:4" x14ac:dyDescent="0.25">
      <c r="D43" s="29"/>
    </row>
    <row r="44" spans="4:4" x14ac:dyDescent="0.25">
      <c r="D44" s="29"/>
    </row>
    <row r="45" spans="4:4" x14ac:dyDescent="0.25">
      <c r="D45" s="29"/>
    </row>
    <row r="46" spans="4:4" x14ac:dyDescent="0.25">
      <c r="D46" s="29"/>
    </row>
    <row r="47" spans="4:4" x14ac:dyDescent="0.25">
      <c r="D47" s="29"/>
    </row>
    <row r="48" spans="4:4" x14ac:dyDescent="0.25">
      <c r="D48" s="29"/>
    </row>
  </sheetData>
  <mergeCells count="1">
    <mergeCell ref="G7:I7"/>
  </mergeCells>
  <conditionalFormatting sqref="K9:AO28">
    <cfRule type="containsText" dxfId="239" priority="1" operator="containsText" text="L">
      <formula>NOT(ISERROR(SEARCH("L",K9)))</formula>
    </cfRule>
    <cfRule type="containsText" dxfId="238" priority="2" operator="containsText" text="A">
      <formula>NOT(ISERROR(SEARCH("A",K9)))</formula>
    </cfRule>
    <cfRule type="containsText" dxfId="237" priority="3" operator="containsText" text="P">
      <formula>NOT(ISERROR(SEARCH("P",K9)))</formula>
    </cfRule>
    <cfRule type="containsText" dxfId="236" priority="4" operator="containsText" text="WO">
      <formula>NOT(ISERROR(SEARCH("WO",K9)))</formula>
    </cfRule>
    <cfRule type="containsText" dxfId="235" priority="5" operator="containsText" text="WO">
      <formula>NOT(ISERROR(SEARCH("WO",K9)))</formula>
    </cfRule>
  </conditionalFormatting>
  <dataValidations count="1">
    <dataValidation type="list" allowBlank="1" showInputMessage="1" showErrorMessage="1" sqref="AH9:AM28 K9:K28 AO9:AO28 T9:Y28 AA9:AF28 M9:R28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Mar!AV9:AY9</xm:f>
              <xm:sqref>BF9</xm:sqref>
            </x14:sparkline>
            <x14:sparkline>
              <xm:f>Mar!AV10:AY10</xm:f>
              <xm:sqref>BF10</xm:sqref>
            </x14:sparkline>
            <x14:sparkline>
              <xm:f>Mar!AV11:AY11</xm:f>
              <xm:sqref>BF11</xm:sqref>
            </x14:sparkline>
            <x14:sparkline>
              <xm:f>Mar!AV12:AY12</xm:f>
              <xm:sqref>BF12</xm:sqref>
            </x14:sparkline>
            <x14:sparkline>
              <xm:f>Mar!AV13:AY13</xm:f>
              <xm:sqref>BF13</xm:sqref>
            </x14:sparkline>
            <x14:sparkline>
              <xm:f>Mar!AV14:AY14</xm:f>
              <xm:sqref>BF14</xm:sqref>
            </x14:sparkline>
            <x14:sparkline>
              <xm:f>Mar!AV15:AY15</xm:f>
              <xm:sqref>BF15</xm:sqref>
            </x14:sparkline>
            <x14:sparkline>
              <xm:f>Mar!AV16:AY16</xm:f>
              <xm:sqref>BF16</xm:sqref>
            </x14:sparkline>
            <x14:sparkline>
              <xm:f>Mar!AV17:AY17</xm:f>
              <xm:sqref>BF17</xm:sqref>
            </x14:sparkline>
            <x14:sparkline>
              <xm:f>Mar!AV18:AY18</xm:f>
              <xm:sqref>BF18</xm:sqref>
            </x14:sparkline>
            <x14:sparkline>
              <xm:f>Mar!AV19:AY19</xm:f>
              <xm:sqref>BF19</xm:sqref>
            </x14:sparkline>
            <x14:sparkline>
              <xm:f>Mar!AV20:AY20</xm:f>
              <xm:sqref>BF20</xm:sqref>
            </x14:sparkline>
            <x14:sparkline>
              <xm:f>Mar!AV21:AY21</xm:f>
              <xm:sqref>BF21</xm:sqref>
            </x14:sparkline>
            <x14:sparkline>
              <xm:f>Mar!AV22:AY22</xm:f>
              <xm:sqref>BF22</xm:sqref>
            </x14:sparkline>
            <x14:sparkline>
              <xm:f>Mar!AV23:AY23</xm:f>
              <xm:sqref>BF23</xm:sqref>
            </x14:sparkline>
            <x14:sparkline>
              <xm:f>Mar!AV24:AY24</xm:f>
              <xm:sqref>BF24</xm:sqref>
            </x14:sparkline>
            <x14:sparkline>
              <xm:f>Mar!AV25:AY25</xm:f>
              <xm:sqref>BF25</xm:sqref>
            </x14:sparkline>
            <x14:sparkline>
              <xm:f>Mar!AV26:AY26</xm:f>
              <xm:sqref>BF26</xm:sqref>
            </x14:sparkline>
            <x14:sparkline>
              <xm:f>Mar!AV27:AY27</xm:f>
              <xm:sqref>BF27</xm:sqref>
            </x14:sparkline>
            <x14:sparkline>
              <xm:f>Mar!AV28:AY28</xm:f>
              <xm:sqref>BF28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zoomScale="70" zoomScaleNormal="70" workbookViewId="0">
      <selection activeCell="V15" sqref="V15"/>
    </sheetView>
  </sheetViews>
  <sheetFormatPr defaultRowHeight="15" x14ac:dyDescent="0.25"/>
  <cols>
    <col min="1" max="3" width="9.140625" style="29"/>
    <col min="5" max="6" width="9.140625" style="29"/>
    <col min="7" max="7" width="7.85546875" style="29" customWidth="1"/>
    <col min="8" max="8" width="15.28515625" style="29" bestFit="1" customWidth="1"/>
    <col min="9" max="9" width="22.42578125" style="29" bestFit="1" customWidth="1"/>
    <col min="10" max="10" width="10" style="29" bestFit="1" customWidth="1"/>
    <col min="11" max="37" width="4.7109375" style="29" customWidth="1"/>
    <col min="38" max="38" width="6.28515625" style="29" customWidth="1"/>
    <col min="39" max="41" width="4.7109375" style="29" customWidth="1"/>
    <col min="42" max="43" width="9.140625" style="29"/>
    <col min="44" max="44" width="7.28515625" style="29" customWidth="1"/>
    <col min="45" max="46" width="14.140625" style="29" customWidth="1"/>
    <col min="47" max="47" width="17.85546875" style="29" customWidth="1"/>
    <col min="48" max="48" width="9.85546875" style="29" customWidth="1"/>
    <col min="49" max="49" width="9.28515625" style="29" customWidth="1"/>
    <col min="50" max="50" width="9.140625" style="29"/>
    <col min="51" max="51" width="11.85546875" style="29" customWidth="1"/>
    <col min="52" max="52" width="9.140625" style="29"/>
    <col min="53" max="53" width="12" style="29" customWidth="1"/>
    <col min="54" max="54" width="12.42578125" style="29" bestFit="1" customWidth="1"/>
    <col min="55" max="55" width="15.7109375" style="29" customWidth="1"/>
    <col min="56" max="56" width="12.140625" style="29" customWidth="1"/>
    <col min="57" max="57" width="13.7109375" style="29" customWidth="1"/>
    <col min="58" max="58" width="15.5703125" style="29" bestFit="1" customWidth="1"/>
    <col min="59" max="16384" width="9.140625" style="29"/>
  </cols>
  <sheetData>
    <row r="1" spans="1:59" x14ac:dyDescent="0.25">
      <c r="A1"/>
      <c r="B1"/>
      <c r="C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25">
      <c r="A2"/>
      <c r="B2"/>
      <c r="C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25">
      <c r="A3"/>
      <c r="B3"/>
      <c r="C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25">
      <c r="A4"/>
      <c r="B4"/>
      <c r="C4"/>
      <c r="D4" s="29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/>
      <c r="B5"/>
      <c r="C5"/>
      <c r="D5" s="29"/>
      <c r="F5" s="43"/>
      <c r="G5" s="43" t="s">
        <v>27</v>
      </c>
      <c r="H5" s="44">
        <v>45748</v>
      </c>
      <c r="I5" s="43">
        <f>(DATEDIF($H$5,$L$5,"D"))+1</f>
        <v>30</v>
      </c>
      <c r="J5" s="43" t="str">
        <f>TEXT(H5,"MMMM")</f>
        <v>April</v>
      </c>
      <c r="K5" s="43" t="s">
        <v>28</v>
      </c>
      <c r="L5" s="44">
        <f>EOMONTH(H5,0)</f>
        <v>45777</v>
      </c>
      <c r="M5" s="43"/>
      <c r="BD5" s="30"/>
    </row>
    <row r="6" spans="1:59" ht="15.75" thickBot="1" x14ac:dyDescent="0.3">
      <c r="A6"/>
      <c r="B6"/>
      <c r="C6"/>
      <c r="D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30" thickTop="1" x14ac:dyDescent="0.4">
      <c r="A7"/>
      <c r="B7"/>
      <c r="C7"/>
      <c r="D7" s="29"/>
      <c r="F7" s="31"/>
      <c r="G7" s="65" t="s">
        <v>30</v>
      </c>
      <c r="H7" s="66"/>
      <c r="I7" s="67"/>
      <c r="J7" s="64" t="s">
        <v>29</v>
      </c>
      <c r="K7" s="59" t="str">
        <f>TEXT(K8,"DDD")</f>
        <v>Tue</v>
      </c>
      <c r="L7" s="59" t="str">
        <f t="shared" ref="L7:AO7" si="0">TEXT(L8,"DDD")</f>
        <v>Wed</v>
      </c>
      <c r="M7" s="59" t="str">
        <f t="shared" si="0"/>
        <v>Thu</v>
      </c>
      <c r="N7" s="59" t="str">
        <f t="shared" si="0"/>
        <v>Fri</v>
      </c>
      <c r="O7" s="59" t="str">
        <f t="shared" si="0"/>
        <v>Sat</v>
      </c>
      <c r="P7" s="59" t="str">
        <f t="shared" si="0"/>
        <v>Sun</v>
      </c>
      <c r="Q7" s="59" t="str">
        <f t="shared" si="0"/>
        <v>Mon</v>
      </c>
      <c r="R7" s="59" t="str">
        <f t="shared" si="0"/>
        <v>Tue</v>
      </c>
      <c r="S7" s="59" t="str">
        <f t="shared" si="0"/>
        <v>Wed</v>
      </c>
      <c r="T7" s="59" t="str">
        <f t="shared" si="0"/>
        <v>Thu</v>
      </c>
      <c r="U7" s="59" t="str">
        <f t="shared" si="0"/>
        <v>Fri</v>
      </c>
      <c r="V7" s="59" t="str">
        <f t="shared" si="0"/>
        <v>Sat</v>
      </c>
      <c r="W7" s="59" t="str">
        <f t="shared" si="0"/>
        <v>Sun</v>
      </c>
      <c r="X7" s="59" t="str">
        <f t="shared" si="0"/>
        <v>Mon</v>
      </c>
      <c r="Y7" s="59" t="str">
        <f t="shared" si="0"/>
        <v>Tue</v>
      </c>
      <c r="Z7" s="59" t="str">
        <f t="shared" si="0"/>
        <v>Wed</v>
      </c>
      <c r="AA7" s="59" t="str">
        <f t="shared" si="0"/>
        <v>Thu</v>
      </c>
      <c r="AB7" s="59" t="str">
        <f t="shared" si="0"/>
        <v>Fri</v>
      </c>
      <c r="AC7" s="59" t="str">
        <f t="shared" si="0"/>
        <v>Sat</v>
      </c>
      <c r="AD7" s="59" t="str">
        <f t="shared" si="0"/>
        <v>Sun</v>
      </c>
      <c r="AE7" s="59" t="str">
        <f t="shared" si="0"/>
        <v>Mon</v>
      </c>
      <c r="AF7" s="59" t="str">
        <f t="shared" si="0"/>
        <v>Tue</v>
      </c>
      <c r="AG7" s="59" t="str">
        <f t="shared" si="0"/>
        <v>Wed</v>
      </c>
      <c r="AH7" s="59" t="str">
        <f t="shared" si="0"/>
        <v>Thu</v>
      </c>
      <c r="AI7" s="59" t="str">
        <f t="shared" si="0"/>
        <v>Fri</v>
      </c>
      <c r="AJ7" s="59" t="str">
        <f t="shared" si="0"/>
        <v>Sat</v>
      </c>
      <c r="AK7" s="59" t="str">
        <f t="shared" si="0"/>
        <v>Sun</v>
      </c>
      <c r="AL7" s="59" t="str">
        <f t="shared" si="0"/>
        <v>Mon</v>
      </c>
      <c r="AM7" s="59" t="str">
        <f t="shared" si="0"/>
        <v>Tue</v>
      </c>
      <c r="AN7" s="59" t="str">
        <f t="shared" si="0"/>
        <v>Wed</v>
      </c>
      <c r="AO7" s="60" t="str">
        <f t="shared" si="0"/>
        <v/>
      </c>
      <c r="AP7" s="31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/>
      <c r="B8"/>
      <c r="C8"/>
      <c r="D8" s="29"/>
      <c r="F8" s="31"/>
      <c r="G8" s="9" t="s">
        <v>23</v>
      </c>
      <c r="H8" s="10" t="s">
        <v>24</v>
      </c>
      <c r="I8" s="11" t="s">
        <v>25</v>
      </c>
      <c r="J8" s="12" t="s">
        <v>26</v>
      </c>
      <c r="K8" s="13">
        <f>H5</f>
        <v>45748</v>
      </c>
      <c r="L8" s="13">
        <f>IF(K8&lt;$L$5,K8+1,"")</f>
        <v>45749</v>
      </c>
      <c r="M8" s="13">
        <f t="shared" ref="M8:AO8" si="1">IF(L8&lt;$L$5,L8+1,"")</f>
        <v>45750</v>
      </c>
      <c r="N8" s="13">
        <f t="shared" si="1"/>
        <v>45751</v>
      </c>
      <c r="O8" s="13">
        <f t="shared" si="1"/>
        <v>45752</v>
      </c>
      <c r="P8" s="13">
        <f t="shared" si="1"/>
        <v>45753</v>
      </c>
      <c r="Q8" s="13">
        <f t="shared" si="1"/>
        <v>45754</v>
      </c>
      <c r="R8" s="13">
        <f t="shared" si="1"/>
        <v>45755</v>
      </c>
      <c r="S8" s="13">
        <f t="shared" si="1"/>
        <v>45756</v>
      </c>
      <c r="T8" s="13">
        <f t="shared" si="1"/>
        <v>45757</v>
      </c>
      <c r="U8" s="13">
        <f t="shared" si="1"/>
        <v>45758</v>
      </c>
      <c r="V8" s="13">
        <f t="shared" si="1"/>
        <v>45759</v>
      </c>
      <c r="W8" s="13">
        <f t="shared" si="1"/>
        <v>45760</v>
      </c>
      <c r="X8" s="13">
        <f t="shared" si="1"/>
        <v>45761</v>
      </c>
      <c r="Y8" s="13">
        <f t="shared" si="1"/>
        <v>45762</v>
      </c>
      <c r="Z8" s="13">
        <f t="shared" si="1"/>
        <v>45763</v>
      </c>
      <c r="AA8" s="13">
        <f t="shared" si="1"/>
        <v>45764</v>
      </c>
      <c r="AB8" s="13">
        <f t="shared" si="1"/>
        <v>45765</v>
      </c>
      <c r="AC8" s="13">
        <f t="shared" si="1"/>
        <v>45766</v>
      </c>
      <c r="AD8" s="13">
        <f t="shared" si="1"/>
        <v>45767</v>
      </c>
      <c r="AE8" s="13">
        <f t="shared" si="1"/>
        <v>45768</v>
      </c>
      <c r="AF8" s="13">
        <f t="shared" si="1"/>
        <v>45769</v>
      </c>
      <c r="AG8" s="13">
        <f t="shared" si="1"/>
        <v>45770</v>
      </c>
      <c r="AH8" s="13">
        <f t="shared" si="1"/>
        <v>45771</v>
      </c>
      <c r="AI8" s="13">
        <f t="shared" si="1"/>
        <v>45772</v>
      </c>
      <c r="AJ8" s="13">
        <f t="shared" si="1"/>
        <v>45773</v>
      </c>
      <c r="AK8" s="13">
        <f t="shared" si="1"/>
        <v>45774</v>
      </c>
      <c r="AL8" s="13">
        <f t="shared" si="1"/>
        <v>45775</v>
      </c>
      <c r="AM8" s="13">
        <f t="shared" si="1"/>
        <v>45776</v>
      </c>
      <c r="AN8" s="13">
        <f t="shared" si="1"/>
        <v>45777</v>
      </c>
      <c r="AO8" s="14" t="str">
        <f t="shared" si="1"/>
        <v/>
      </c>
      <c r="AP8" s="32"/>
      <c r="AQ8" s="35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36"/>
    </row>
    <row r="9" spans="1:59" ht="16.5" thickTop="1" x14ac:dyDescent="0.25">
      <c r="A9"/>
      <c r="B9"/>
      <c r="C9"/>
      <c r="D9" s="29"/>
      <c r="F9" s="31"/>
      <c r="G9" s="3">
        <v>1</v>
      </c>
      <c r="H9" s="4">
        <v>1001</v>
      </c>
      <c r="I9" s="5" t="s">
        <v>3</v>
      </c>
      <c r="J9" s="37">
        <f>COUNTIF($K$7:$AO$7,"Sun")</f>
        <v>4</v>
      </c>
      <c r="K9" s="38" t="s">
        <v>43</v>
      </c>
      <c r="L9" s="38" t="s">
        <v>43</v>
      </c>
      <c r="M9" s="38" t="s">
        <v>43</v>
      </c>
      <c r="N9" s="38" t="s">
        <v>43</v>
      </c>
      <c r="O9" s="38" t="s">
        <v>43</v>
      </c>
      <c r="P9" s="38" t="str">
        <f t="shared" ref="P9:AK17" si="2">IF(P$7="Sun","WO","")</f>
        <v>WO</v>
      </c>
      <c r="Q9" s="38" t="s">
        <v>43</v>
      </c>
      <c r="R9" s="38" t="s">
        <v>43</v>
      </c>
      <c r="S9" s="38" t="s">
        <v>43</v>
      </c>
      <c r="T9" s="38" t="s">
        <v>43</v>
      </c>
      <c r="U9" s="38" t="s">
        <v>43</v>
      </c>
      <c r="V9" s="38" t="s">
        <v>42</v>
      </c>
      <c r="W9" s="38" t="str">
        <f t="shared" si="2"/>
        <v>WO</v>
      </c>
      <c r="X9" s="38" t="s">
        <v>43</v>
      </c>
      <c r="Y9" s="38" t="s">
        <v>43</v>
      </c>
      <c r="Z9" s="38" t="s">
        <v>42</v>
      </c>
      <c r="AA9" s="38" t="s">
        <v>43</v>
      </c>
      <c r="AB9" s="38" t="s">
        <v>43</v>
      </c>
      <c r="AC9" s="38" t="s">
        <v>43</v>
      </c>
      <c r="AD9" s="38" t="str">
        <f t="shared" si="2"/>
        <v>WO</v>
      </c>
      <c r="AE9" s="38" t="s">
        <v>43</v>
      </c>
      <c r="AF9" s="38" t="s">
        <v>43</v>
      </c>
      <c r="AG9" s="38" t="s">
        <v>43</v>
      </c>
      <c r="AH9" s="38" t="s">
        <v>43</v>
      </c>
      <c r="AI9" s="38" t="s">
        <v>43</v>
      </c>
      <c r="AJ9" s="38" t="s">
        <v>43</v>
      </c>
      <c r="AK9" s="38" t="str">
        <f t="shared" si="2"/>
        <v>WO</v>
      </c>
      <c r="AL9" s="38" t="s">
        <v>43</v>
      </c>
      <c r="AM9" s="38" t="s">
        <v>43</v>
      </c>
      <c r="AN9" s="38" t="s">
        <v>43</v>
      </c>
      <c r="AO9" s="39"/>
      <c r="AP9" s="31"/>
      <c r="AQ9" s="36"/>
      <c r="AR9" s="19">
        <v>1</v>
      </c>
      <c r="AS9" s="19">
        <v>1001</v>
      </c>
      <c r="AT9" s="19" t="str">
        <f t="shared" ref="AT9:AT28" si="3">$J$5</f>
        <v>April</v>
      </c>
      <c r="AU9" s="19" t="s">
        <v>3</v>
      </c>
      <c r="AV9" s="26">
        <f t="shared" ref="AV9:AV28" si="4">COUNTIF($K9:$AO9,"*P*")</f>
        <v>24</v>
      </c>
      <c r="AW9" s="20">
        <f t="shared" ref="AW9:AW28" si="5">COUNTIF($K9:$AO9,"*A*")</f>
        <v>0</v>
      </c>
      <c r="AX9" s="20">
        <f t="shared" ref="AX9:AX28" si="6">COUNTIF($K9:$AO9,"L")</f>
        <v>2</v>
      </c>
      <c r="AY9" s="20">
        <f t="shared" ref="AY9:AY28" si="7">$J$9</f>
        <v>4</v>
      </c>
      <c r="AZ9" s="20">
        <f t="shared" ref="AZ9:AZ28" si="8">$I$5</f>
        <v>30</v>
      </c>
      <c r="BA9" s="20">
        <f>Apr_Month[[#This Row],[Days]]-Apr_Month[[#This Row],[Absent]]</f>
        <v>30</v>
      </c>
      <c r="BB9" s="21">
        <v>10000</v>
      </c>
      <c r="BC9" s="21">
        <f>Apr_Month[[#This Row],[Salary]]/Apr_Month[[#This Row],[Days]]</f>
        <v>333.33333333333331</v>
      </c>
      <c r="BD9" s="24">
        <f>Apr_Month[[#This Row],[PerDay Salary]]*Apr_Month[[#This Row],[Absent]]</f>
        <v>0</v>
      </c>
      <c r="BE9" s="23">
        <f>Apr_Month[[#This Row],[Salary]]-Apr_Month[[#This Row],[Deduction]]</f>
        <v>10000</v>
      </c>
      <c r="BF9" s="22"/>
      <c r="BG9" s="36"/>
    </row>
    <row r="10" spans="1:59" ht="15.75" x14ac:dyDescent="0.25">
      <c r="A10"/>
      <c r="B10"/>
      <c r="C10"/>
      <c r="D10" s="29"/>
      <c r="F10" s="31"/>
      <c r="G10" s="3">
        <v>2</v>
      </c>
      <c r="H10" s="4">
        <v>1002</v>
      </c>
      <c r="I10" s="5" t="s">
        <v>4</v>
      </c>
      <c r="J10" s="37">
        <f t="shared" ref="J10:J28" si="9">COUNTIF($K$7:$AO$7,"Sun")</f>
        <v>4</v>
      </c>
      <c r="K10" s="38" t="s">
        <v>43</v>
      </c>
      <c r="L10" s="38" t="s">
        <v>43</v>
      </c>
      <c r="M10" s="38" t="s">
        <v>43</v>
      </c>
      <c r="N10" s="38" t="s">
        <v>43</v>
      </c>
      <c r="O10" s="38" t="s">
        <v>43</v>
      </c>
      <c r="P10" s="38" t="str">
        <f t="shared" si="2"/>
        <v>WO</v>
      </c>
      <c r="Q10" s="38" t="s">
        <v>43</v>
      </c>
      <c r="R10" s="38" t="s">
        <v>43</v>
      </c>
      <c r="S10" s="38" t="s">
        <v>43</v>
      </c>
      <c r="T10" s="38" t="s">
        <v>43</v>
      </c>
      <c r="U10" s="38" t="s">
        <v>43</v>
      </c>
      <c r="V10" s="38" t="s">
        <v>42</v>
      </c>
      <c r="W10" s="38" t="str">
        <f t="shared" si="2"/>
        <v>WO</v>
      </c>
      <c r="X10" s="38" t="s">
        <v>43</v>
      </c>
      <c r="Y10" s="38" t="s">
        <v>43</v>
      </c>
      <c r="Z10" s="38" t="s">
        <v>42</v>
      </c>
      <c r="AA10" s="38" t="s">
        <v>43</v>
      </c>
      <c r="AB10" s="38" t="s">
        <v>43</v>
      </c>
      <c r="AC10" s="38" t="s">
        <v>43</v>
      </c>
      <c r="AD10" s="38" t="str">
        <f t="shared" si="2"/>
        <v>WO</v>
      </c>
      <c r="AE10" s="38" t="s">
        <v>43</v>
      </c>
      <c r="AF10" s="38" t="s">
        <v>43</v>
      </c>
      <c r="AG10" s="38" t="s">
        <v>43</v>
      </c>
      <c r="AH10" s="38" t="s">
        <v>43</v>
      </c>
      <c r="AI10" s="38" t="s">
        <v>43</v>
      </c>
      <c r="AJ10" s="38" t="s">
        <v>43</v>
      </c>
      <c r="AK10" s="38" t="str">
        <f t="shared" si="2"/>
        <v>WO</v>
      </c>
      <c r="AL10" s="38" t="s">
        <v>43</v>
      </c>
      <c r="AM10" s="38" t="s">
        <v>43</v>
      </c>
      <c r="AN10" s="38" t="s">
        <v>43</v>
      </c>
      <c r="AO10" s="39"/>
      <c r="AP10" s="31"/>
      <c r="AQ10" s="36"/>
      <c r="AR10" s="19">
        <v>2</v>
      </c>
      <c r="AS10" s="19">
        <v>1002</v>
      </c>
      <c r="AT10" s="19" t="str">
        <f t="shared" si="3"/>
        <v>April</v>
      </c>
      <c r="AU10" s="19" t="s">
        <v>4</v>
      </c>
      <c r="AV10" s="27">
        <f t="shared" si="4"/>
        <v>24</v>
      </c>
      <c r="AW10" s="22">
        <f t="shared" si="5"/>
        <v>0</v>
      </c>
      <c r="AX10" s="22">
        <f t="shared" si="6"/>
        <v>2</v>
      </c>
      <c r="AY10" s="22">
        <f t="shared" si="7"/>
        <v>4</v>
      </c>
      <c r="AZ10" s="22">
        <f t="shared" si="8"/>
        <v>30</v>
      </c>
      <c r="BA10" s="22">
        <f>Apr_Month[[#This Row],[Days]]-Apr_Month[[#This Row],[Absent]]</f>
        <v>30</v>
      </c>
      <c r="BB10" s="23">
        <v>20000</v>
      </c>
      <c r="BC10" s="23">
        <f>Apr_Month[[#This Row],[Salary]]/Apr_Month[[#This Row],[Days]]</f>
        <v>666.66666666666663</v>
      </c>
      <c r="BD10" s="24">
        <f>Apr_Month[[#This Row],[PerDay Salary]]*Apr_Month[[#This Row],[Absent]]</f>
        <v>0</v>
      </c>
      <c r="BE10" s="23">
        <f>Apr_Month[[#This Row],[Salary]]-Apr_Month[[#This Row],[Deduction]]</f>
        <v>20000</v>
      </c>
      <c r="BF10" s="22"/>
      <c r="BG10" s="36"/>
    </row>
    <row r="11" spans="1:59" ht="15.75" x14ac:dyDescent="0.25">
      <c r="A11"/>
      <c r="B11"/>
      <c r="C11"/>
      <c r="D11" s="29"/>
      <c r="F11" s="31"/>
      <c r="G11" s="3">
        <v>3</v>
      </c>
      <c r="H11" s="4">
        <v>1003</v>
      </c>
      <c r="I11" s="5" t="s">
        <v>5</v>
      </c>
      <c r="J11" s="37">
        <f t="shared" si="9"/>
        <v>4</v>
      </c>
      <c r="K11" s="38" t="s">
        <v>43</v>
      </c>
      <c r="L11" s="38" t="s">
        <v>44</v>
      </c>
      <c r="M11" s="38" t="s">
        <v>43</v>
      </c>
      <c r="N11" s="38" t="s">
        <v>43</v>
      </c>
      <c r="O11" s="38" t="s">
        <v>43</v>
      </c>
      <c r="P11" s="38" t="str">
        <f t="shared" si="2"/>
        <v>WO</v>
      </c>
      <c r="Q11" s="38" t="s">
        <v>43</v>
      </c>
      <c r="R11" s="38" t="s">
        <v>43</v>
      </c>
      <c r="S11" s="38" t="s">
        <v>43</v>
      </c>
      <c r="T11" s="38" t="s">
        <v>43</v>
      </c>
      <c r="U11" s="38" t="s">
        <v>43</v>
      </c>
      <c r="V11" s="38" t="s">
        <v>42</v>
      </c>
      <c r="W11" s="38" t="str">
        <f t="shared" si="2"/>
        <v>WO</v>
      </c>
      <c r="X11" s="38" t="s">
        <v>43</v>
      </c>
      <c r="Y11" s="38" t="s">
        <v>43</v>
      </c>
      <c r="Z11" s="38" t="s">
        <v>42</v>
      </c>
      <c r="AA11" s="38" t="s">
        <v>43</v>
      </c>
      <c r="AB11" s="38" t="s">
        <v>43</v>
      </c>
      <c r="AC11" s="38" t="s">
        <v>43</v>
      </c>
      <c r="AD11" s="38" t="str">
        <f t="shared" si="2"/>
        <v>WO</v>
      </c>
      <c r="AE11" s="38" t="s">
        <v>43</v>
      </c>
      <c r="AF11" s="38" t="s">
        <v>43</v>
      </c>
      <c r="AG11" s="38" t="s">
        <v>43</v>
      </c>
      <c r="AH11" s="38" t="s">
        <v>43</v>
      </c>
      <c r="AI11" s="38" t="s">
        <v>43</v>
      </c>
      <c r="AJ11" s="38" t="s">
        <v>43</v>
      </c>
      <c r="AK11" s="38" t="str">
        <f t="shared" si="2"/>
        <v>WO</v>
      </c>
      <c r="AL11" s="38" t="s">
        <v>43</v>
      </c>
      <c r="AM11" s="38" t="s">
        <v>43</v>
      </c>
      <c r="AN11" s="38" t="s">
        <v>43</v>
      </c>
      <c r="AO11" s="39"/>
      <c r="AP11" s="31"/>
      <c r="AQ11" s="36"/>
      <c r="AR11" s="19">
        <v>3</v>
      </c>
      <c r="AS11" s="19">
        <v>1003</v>
      </c>
      <c r="AT11" s="19" t="str">
        <f t="shared" si="3"/>
        <v>April</v>
      </c>
      <c r="AU11" s="19" t="s">
        <v>5</v>
      </c>
      <c r="AV11" s="27">
        <f t="shared" si="4"/>
        <v>23</v>
      </c>
      <c r="AW11" s="22">
        <f t="shared" si="5"/>
        <v>1</v>
      </c>
      <c r="AX11" s="22">
        <f t="shared" si="6"/>
        <v>2</v>
      </c>
      <c r="AY11" s="22">
        <f t="shared" si="7"/>
        <v>4</v>
      </c>
      <c r="AZ11" s="22">
        <f t="shared" si="8"/>
        <v>30</v>
      </c>
      <c r="BA11" s="22">
        <f>Apr_Month[[#This Row],[Days]]-Apr_Month[[#This Row],[Absent]]</f>
        <v>29</v>
      </c>
      <c r="BB11" s="23">
        <v>25000</v>
      </c>
      <c r="BC11" s="23">
        <f>Apr_Month[[#This Row],[Salary]]/Apr_Month[[#This Row],[Days]]</f>
        <v>833.33333333333337</v>
      </c>
      <c r="BD11" s="24">
        <f>Apr_Month[[#This Row],[PerDay Salary]]*Apr_Month[[#This Row],[Absent]]</f>
        <v>833.33333333333337</v>
      </c>
      <c r="BE11" s="23">
        <f>Apr_Month[[#This Row],[Salary]]-Apr_Month[[#This Row],[Deduction]]</f>
        <v>24166.666666666668</v>
      </c>
      <c r="BF11" s="22"/>
      <c r="BG11" s="36"/>
    </row>
    <row r="12" spans="1:59" ht="15.75" x14ac:dyDescent="0.25">
      <c r="A12"/>
      <c r="B12"/>
      <c r="C12"/>
      <c r="D12" s="29"/>
      <c r="F12" s="31"/>
      <c r="G12" s="3">
        <v>4</v>
      </c>
      <c r="H12" s="4">
        <v>1004</v>
      </c>
      <c r="I12" s="5" t="s">
        <v>6</v>
      </c>
      <c r="J12" s="37">
        <f t="shared" si="9"/>
        <v>4</v>
      </c>
      <c r="K12" s="38" t="s">
        <v>43</v>
      </c>
      <c r="L12" s="38" t="s">
        <v>43</v>
      </c>
      <c r="M12" s="38" t="s">
        <v>43</v>
      </c>
      <c r="N12" s="38" t="s">
        <v>43</v>
      </c>
      <c r="O12" s="38" t="s">
        <v>43</v>
      </c>
      <c r="P12" s="38" t="str">
        <f t="shared" si="2"/>
        <v>WO</v>
      </c>
      <c r="Q12" s="38" t="s">
        <v>43</v>
      </c>
      <c r="R12" s="38" t="s">
        <v>43</v>
      </c>
      <c r="S12" s="38" t="s">
        <v>43</v>
      </c>
      <c r="T12" s="38" t="s">
        <v>43</v>
      </c>
      <c r="U12" s="38" t="s">
        <v>43</v>
      </c>
      <c r="V12" s="38" t="s">
        <v>42</v>
      </c>
      <c r="W12" s="38" t="str">
        <f t="shared" si="2"/>
        <v>WO</v>
      </c>
      <c r="X12" s="38" t="s">
        <v>43</v>
      </c>
      <c r="Y12" s="38" t="s">
        <v>43</v>
      </c>
      <c r="Z12" s="38" t="s">
        <v>42</v>
      </c>
      <c r="AA12" s="38" t="s">
        <v>43</v>
      </c>
      <c r="AB12" s="38" t="s">
        <v>43</v>
      </c>
      <c r="AC12" s="38" t="s">
        <v>43</v>
      </c>
      <c r="AD12" s="38" t="str">
        <f t="shared" si="2"/>
        <v>WO</v>
      </c>
      <c r="AE12" s="38" t="s">
        <v>43</v>
      </c>
      <c r="AF12" s="38" t="s">
        <v>43</v>
      </c>
      <c r="AG12" s="38" t="s">
        <v>43</v>
      </c>
      <c r="AH12" s="38" t="s">
        <v>43</v>
      </c>
      <c r="AI12" s="38" t="s">
        <v>43</v>
      </c>
      <c r="AJ12" s="38" t="s">
        <v>43</v>
      </c>
      <c r="AK12" s="38" t="str">
        <f t="shared" si="2"/>
        <v>WO</v>
      </c>
      <c r="AL12" s="38" t="s">
        <v>43</v>
      </c>
      <c r="AM12" s="38" t="s">
        <v>43</v>
      </c>
      <c r="AN12" s="38" t="s">
        <v>43</v>
      </c>
      <c r="AO12" s="39"/>
      <c r="AP12" s="31"/>
      <c r="AQ12" s="36"/>
      <c r="AR12" s="19">
        <v>4</v>
      </c>
      <c r="AS12" s="19">
        <v>1004</v>
      </c>
      <c r="AT12" s="19" t="str">
        <f t="shared" si="3"/>
        <v>April</v>
      </c>
      <c r="AU12" s="19" t="s">
        <v>6</v>
      </c>
      <c r="AV12" s="27">
        <f t="shared" si="4"/>
        <v>24</v>
      </c>
      <c r="AW12" s="22">
        <f t="shared" si="5"/>
        <v>0</v>
      </c>
      <c r="AX12" s="22">
        <f t="shared" si="6"/>
        <v>2</v>
      </c>
      <c r="AY12" s="22">
        <f t="shared" si="7"/>
        <v>4</v>
      </c>
      <c r="AZ12" s="22">
        <f t="shared" si="8"/>
        <v>30</v>
      </c>
      <c r="BA12" s="22">
        <f>Apr_Month[[#This Row],[Days]]-Apr_Month[[#This Row],[Absent]]</f>
        <v>30</v>
      </c>
      <c r="BB12" s="23">
        <v>30000</v>
      </c>
      <c r="BC12" s="23">
        <f>Apr_Month[[#This Row],[Salary]]/Apr_Month[[#This Row],[Days]]</f>
        <v>1000</v>
      </c>
      <c r="BD12" s="24">
        <f>Apr_Month[[#This Row],[PerDay Salary]]*Apr_Month[[#This Row],[Absent]]</f>
        <v>0</v>
      </c>
      <c r="BE12" s="23">
        <f>Apr_Month[[#This Row],[Salary]]-Apr_Month[[#This Row],[Deduction]]</f>
        <v>30000</v>
      </c>
      <c r="BF12" s="22"/>
      <c r="BG12" s="36"/>
    </row>
    <row r="13" spans="1:59" ht="15.75" x14ac:dyDescent="0.25">
      <c r="A13"/>
      <c r="B13"/>
      <c r="C13"/>
      <c r="D13" s="29"/>
      <c r="F13" s="31"/>
      <c r="G13" s="3">
        <v>5</v>
      </c>
      <c r="H13" s="4">
        <v>1005</v>
      </c>
      <c r="I13" s="5" t="s">
        <v>7</v>
      </c>
      <c r="J13" s="37">
        <f t="shared" si="9"/>
        <v>4</v>
      </c>
      <c r="K13" s="38" t="s">
        <v>43</v>
      </c>
      <c r="L13" s="38" t="s">
        <v>43</v>
      </c>
      <c r="M13" s="38" t="s">
        <v>43</v>
      </c>
      <c r="N13" s="38" t="s">
        <v>43</v>
      </c>
      <c r="O13" s="38" t="s">
        <v>43</v>
      </c>
      <c r="P13" s="38" t="str">
        <f t="shared" si="2"/>
        <v>WO</v>
      </c>
      <c r="Q13" s="38" t="s">
        <v>43</v>
      </c>
      <c r="R13" s="38" t="s">
        <v>43</v>
      </c>
      <c r="S13" s="38" t="s">
        <v>43</v>
      </c>
      <c r="T13" s="38" t="s">
        <v>43</v>
      </c>
      <c r="U13" s="38" t="s">
        <v>43</v>
      </c>
      <c r="V13" s="38" t="s">
        <v>42</v>
      </c>
      <c r="W13" s="38" t="str">
        <f t="shared" si="2"/>
        <v>WO</v>
      </c>
      <c r="X13" s="38" t="s">
        <v>43</v>
      </c>
      <c r="Y13" s="38" t="s">
        <v>43</v>
      </c>
      <c r="Z13" s="38" t="s">
        <v>42</v>
      </c>
      <c r="AA13" s="38" t="s">
        <v>43</v>
      </c>
      <c r="AB13" s="38" t="s">
        <v>43</v>
      </c>
      <c r="AC13" s="38" t="s">
        <v>44</v>
      </c>
      <c r="AD13" s="38" t="str">
        <f t="shared" si="2"/>
        <v>WO</v>
      </c>
      <c r="AE13" s="38" t="s">
        <v>44</v>
      </c>
      <c r="AF13" s="38" t="s">
        <v>43</v>
      </c>
      <c r="AG13" s="38" t="s">
        <v>43</v>
      </c>
      <c r="AH13" s="38" t="s">
        <v>43</v>
      </c>
      <c r="AI13" s="38" t="s">
        <v>43</v>
      </c>
      <c r="AJ13" s="38" t="s">
        <v>43</v>
      </c>
      <c r="AK13" s="38" t="str">
        <f t="shared" si="2"/>
        <v>WO</v>
      </c>
      <c r="AL13" s="38" t="s">
        <v>43</v>
      </c>
      <c r="AM13" s="38" t="s">
        <v>43</v>
      </c>
      <c r="AN13" s="38" t="s">
        <v>43</v>
      </c>
      <c r="AO13" s="39"/>
      <c r="AP13" s="31"/>
      <c r="AQ13" s="36"/>
      <c r="AR13" s="19">
        <v>5</v>
      </c>
      <c r="AS13" s="19">
        <v>1005</v>
      </c>
      <c r="AT13" s="19" t="str">
        <f t="shared" si="3"/>
        <v>April</v>
      </c>
      <c r="AU13" s="19" t="s">
        <v>7</v>
      </c>
      <c r="AV13" s="27">
        <f t="shared" si="4"/>
        <v>22</v>
      </c>
      <c r="AW13" s="22">
        <f t="shared" si="5"/>
        <v>2</v>
      </c>
      <c r="AX13" s="22">
        <f t="shared" si="6"/>
        <v>2</v>
      </c>
      <c r="AY13" s="22">
        <f t="shared" si="7"/>
        <v>4</v>
      </c>
      <c r="AZ13" s="22">
        <f t="shared" si="8"/>
        <v>30</v>
      </c>
      <c r="BA13" s="22">
        <f>Apr_Month[[#This Row],[Days]]-Apr_Month[[#This Row],[Absent]]</f>
        <v>28</v>
      </c>
      <c r="BB13" s="23">
        <v>45000</v>
      </c>
      <c r="BC13" s="23">
        <f>Apr_Month[[#This Row],[Salary]]/Apr_Month[[#This Row],[Days]]</f>
        <v>1500</v>
      </c>
      <c r="BD13" s="24">
        <f>Apr_Month[[#This Row],[PerDay Salary]]*Apr_Month[[#This Row],[Absent]]</f>
        <v>3000</v>
      </c>
      <c r="BE13" s="23">
        <f>Apr_Month[[#This Row],[Salary]]-Apr_Month[[#This Row],[Deduction]]</f>
        <v>42000</v>
      </c>
      <c r="BF13" s="22"/>
      <c r="BG13" s="36"/>
    </row>
    <row r="14" spans="1:59" ht="15.75" x14ac:dyDescent="0.25">
      <c r="A14"/>
      <c r="B14"/>
      <c r="C14"/>
      <c r="D14" s="29"/>
      <c r="F14" s="31"/>
      <c r="G14" s="3">
        <v>6</v>
      </c>
      <c r="H14" s="4">
        <v>1006</v>
      </c>
      <c r="I14" s="5" t="s">
        <v>8</v>
      </c>
      <c r="J14" s="37">
        <f t="shared" si="9"/>
        <v>4</v>
      </c>
      <c r="K14" s="38" t="s">
        <v>43</v>
      </c>
      <c r="L14" s="38" t="s">
        <v>43</v>
      </c>
      <c r="M14" s="38" t="s">
        <v>43</v>
      </c>
      <c r="N14" s="38" t="s">
        <v>43</v>
      </c>
      <c r="O14" s="38" t="s">
        <v>43</v>
      </c>
      <c r="P14" s="38" t="str">
        <f t="shared" si="2"/>
        <v>WO</v>
      </c>
      <c r="Q14" s="38" t="s">
        <v>43</v>
      </c>
      <c r="R14" s="38" t="s">
        <v>43</v>
      </c>
      <c r="S14" s="38" t="s">
        <v>43</v>
      </c>
      <c r="T14" s="38" t="s">
        <v>43</v>
      </c>
      <c r="U14" s="38" t="s">
        <v>43</v>
      </c>
      <c r="V14" s="38" t="s">
        <v>42</v>
      </c>
      <c r="W14" s="38" t="str">
        <f t="shared" si="2"/>
        <v>WO</v>
      </c>
      <c r="X14" s="38" t="s">
        <v>43</v>
      </c>
      <c r="Y14" s="38" t="s">
        <v>43</v>
      </c>
      <c r="Z14" s="38" t="s">
        <v>42</v>
      </c>
      <c r="AA14" s="38" t="s">
        <v>43</v>
      </c>
      <c r="AB14" s="38" t="s">
        <v>43</v>
      </c>
      <c r="AC14" s="38" t="s">
        <v>43</v>
      </c>
      <c r="AD14" s="38" t="str">
        <f t="shared" si="2"/>
        <v>WO</v>
      </c>
      <c r="AE14" s="38" t="s">
        <v>43</v>
      </c>
      <c r="AF14" s="38" t="s">
        <v>43</v>
      </c>
      <c r="AG14" s="38" t="s">
        <v>43</v>
      </c>
      <c r="AH14" s="38" t="s">
        <v>43</v>
      </c>
      <c r="AI14" s="38" t="s">
        <v>43</v>
      </c>
      <c r="AJ14" s="38" t="s">
        <v>43</v>
      </c>
      <c r="AK14" s="38" t="str">
        <f t="shared" si="2"/>
        <v>WO</v>
      </c>
      <c r="AL14" s="38" t="s">
        <v>43</v>
      </c>
      <c r="AM14" s="38" t="s">
        <v>43</v>
      </c>
      <c r="AN14" s="38" t="s">
        <v>43</v>
      </c>
      <c r="AO14" s="39"/>
      <c r="AP14" s="31"/>
      <c r="AQ14" s="36"/>
      <c r="AR14" s="19">
        <v>6</v>
      </c>
      <c r="AS14" s="19">
        <v>1006</v>
      </c>
      <c r="AT14" s="19" t="str">
        <f t="shared" si="3"/>
        <v>April</v>
      </c>
      <c r="AU14" s="19" t="s">
        <v>8</v>
      </c>
      <c r="AV14" s="27">
        <f t="shared" si="4"/>
        <v>24</v>
      </c>
      <c r="AW14" s="22">
        <f t="shared" si="5"/>
        <v>0</v>
      </c>
      <c r="AX14" s="22">
        <f t="shared" si="6"/>
        <v>2</v>
      </c>
      <c r="AY14" s="22">
        <f t="shared" si="7"/>
        <v>4</v>
      </c>
      <c r="AZ14" s="22">
        <f t="shared" si="8"/>
        <v>30</v>
      </c>
      <c r="BA14" s="22">
        <f>Apr_Month[[#This Row],[Days]]-Apr_Month[[#This Row],[Absent]]</f>
        <v>30</v>
      </c>
      <c r="BB14" s="23">
        <v>15000</v>
      </c>
      <c r="BC14" s="23">
        <f>Apr_Month[[#This Row],[Salary]]/Apr_Month[[#This Row],[Days]]</f>
        <v>500</v>
      </c>
      <c r="BD14" s="24">
        <f>Apr_Month[[#This Row],[PerDay Salary]]*Apr_Month[[#This Row],[Absent]]</f>
        <v>0</v>
      </c>
      <c r="BE14" s="23">
        <f>Apr_Month[[#This Row],[Salary]]-Apr_Month[[#This Row],[Deduction]]</f>
        <v>15000</v>
      </c>
      <c r="BF14" s="22"/>
      <c r="BG14" s="36"/>
    </row>
    <row r="15" spans="1:59" ht="15.75" x14ac:dyDescent="0.25">
      <c r="A15"/>
      <c r="B15"/>
      <c r="C15"/>
      <c r="D15" s="29"/>
      <c r="F15" s="31"/>
      <c r="G15" s="3">
        <v>7</v>
      </c>
      <c r="H15" s="4">
        <v>1007</v>
      </c>
      <c r="I15" s="5" t="s">
        <v>9</v>
      </c>
      <c r="J15" s="37">
        <f t="shared" si="9"/>
        <v>4</v>
      </c>
      <c r="K15" s="38" t="s">
        <v>43</v>
      </c>
      <c r="L15" s="38" t="s">
        <v>43</v>
      </c>
      <c r="M15" s="38" t="s">
        <v>43</v>
      </c>
      <c r="N15" s="38" t="s">
        <v>43</v>
      </c>
      <c r="O15" s="38" t="s">
        <v>43</v>
      </c>
      <c r="P15" s="38" t="str">
        <f t="shared" si="2"/>
        <v>WO</v>
      </c>
      <c r="Q15" s="38" t="s">
        <v>43</v>
      </c>
      <c r="R15" s="38" t="s">
        <v>44</v>
      </c>
      <c r="S15" s="38" t="s">
        <v>43</v>
      </c>
      <c r="T15" s="38" t="s">
        <v>43</v>
      </c>
      <c r="U15" s="38" t="s">
        <v>43</v>
      </c>
      <c r="V15" s="38" t="s">
        <v>42</v>
      </c>
      <c r="W15" s="38" t="str">
        <f t="shared" si="2"/>
        <v>WO</v>
      </c>
      <c r="X15" s="38" t="s">
        <v>43</v>
      </c>
      <c r="Y15" s="38" t="s">
        <v>43</v>
      </c>
      <c r="Z15" s="38" t="s">
        <v>42</v>
      </c>
      <c r="AA15" s="38" t="s">
        <v>43</v>
      </c>
      <c r="AB15" s="38" t="s">
        <v>43</v>
      </c>
      <c r="AC15" s="38" t="s">
        <v>43</v>
      </c>
      <c r="AD15" s="38" t="str">
        <f t="shared" si="2"/>
        <v>WO</v>
      </c>
      <c r="AE15" s="38" t="s">
        <v>43</v>
      </c>
      <c r="AF15" s="38" t="s">
        <v>43</v>
      </c>
      <c r="AG15" s="38" t="s">
        <v>43</v>
      </c>
      <c r="AH15" s="38" t="s">
        <v>43</v>
      </c>
      <c r="AI15" s="38" t="s">
        <v>43</v>
      </c>
      <c r="AJ15" s="38" t="s">
        <v>43</v>
      </c>
      <c r="AK15" s="38" t="str">
        <f t="shared" si="2"/>
        <v>WO</v>
      </c>
      <c r="AL15" s="38" t="s">
        <v>43</v>
      </c>
      <c r="AM15" s="38" t="s">
        <v>43</v>
      </c>
      <c r="AN15" s="38" t="s">
        <v>43</v>
      </c>
      <c r="AO15" s="39"/>
      <c r="AP15" s="31"/>
      <c r="AQ15" s="36"/>
      <c r="AR15" s="19">
        <v>7</v>
      </c>
      <c r="AS15" s="19">
        <v>1007</v>
      </c>
      <c r="AT15" s="19" t="str">
        <f t="shared" si="3"/>
        <v>April</v>
      </c>
      <c r="AU15" s="19" t="s">
        <v>9</v>
      </c>
      <c r="AV15" s="27">
        <f t="shared" si="4"/>
        <v>23</v>
      </c>
      <c r="AW15" s="22">
        <f t="shared" si="5"/>
        <v>1</v>
      </c>
      <c r="AX15" s="22">
        <f t="shared" si="6"/>
        <v>2</v>
      </c>
      <c r="AY15" s="22">
        <f t="shared" si="7"/>
        <v>4</v>
      </c>
      <c r="AZ15" s="22">
        <f t="shared" si="8"/>
        <v>30</v>
      </c>
      <c r="BA15" s="22">
        <f>Apr_Month[[#This Row],[Days]]-Apr_Month[[#This Row],[Absent]]</f>
        <v>29</v>
      </c>
      <c r="BB15" s="23">
        <v>62000</v>
      </c>
      <c r="BC15" s="23">
        <f>Apr_Month[[#This Row],[Salary]]/Apr_Month[[#This Row],[Days]]</f>
        <v>2066.6666666666665</v>
      </c>
      <c r="BD15" s="24">
        <f>Apr_Month[[#This Row],[PerDay Salary]]*Apr_Month[[#This Row],[Absent]]</f>
        <v>2066.6666666666665</v>
      </c>
      <c r="BE15" s="23">
        <f>Apr_Month[[#This Row],[Salary]]-Apr_Month[[#This Row],[Deduction]]</f>
        <v>59933.333333333336</v>
      </c>
      <c r="BF15" s="22"/>
      <c r="BG15" s="36"/>
    </row>
    <row r="16" spans="1:59" ht="15.75" x14ac:dyDescent="0.25">
      <c r="A16"/>
      <c r="B16"/>
      <c r="C16"/>
      <c r="D16" s="29"/>
      <c r="F16" s="31"/>
      <c r="G16" s="3">
        <v>8</v>
      </c>
      <c r="H16" s="4">
        <v>1008</v>
      </c>
      <c r="I16" s="5" t="s">
        <v>10</v>
      </c>
      <c r="J16" s="37">
        <f t="shared" si="9"/>
        <v>4</v>
      </c>
      <c r="K16" s="38" t="s">
        <v>43</v>
      </c>
      <c r="L16" s="38" t="s">
        <v>43</v>
      </c>
      <c r="M16" s="38" t="s">
        <v>43</v>
      </c>
      <c r="N16" s="38" t="s">
        <v>43</v>
      </c>
      <c r="O16" s="38" t="s">
        <v>43</v>
      </c>
      <c r="P16" s="38" t="str">
        <f t="shared" si="2"/>
        <v>WO</v>
      </c>
      <c r="Q16" s="38" t="s">
        <v>43</v>
      </c>
      <c r="R16" s="38" t="s">
        <v>43</v>
      </c>
      <c r="S16" s="38" t="s">
        <v>43</v>
      </c>
      <c r="T16" s="38" t="s">
        <v>43</v>
      </c>
      <c r="U16" s="38" t="s">
        <v>43</v>
      </c>
      <c r="V16" s="38" t="s">
        <v>42</v>
      </c>
      <c r="W16" s="38" t="str">
        <f t="shared" si="2"/>
        <v>WO</v>
      </c>
      <c r="X16" s="38" t="s">
        <v>43</v>
      </c>
      <c r="Y16" s="38" t="s">
        <v>43</v>
      </c>
      <c r="Z16" s="38" t="s">
        <v>42</v>
      </c>
      <c r="AA16" s="38" t="s">
        <v>43</v>
      </c>
      <c r="AB16" s="38" t="s">
        <v>43</v>
      </c>
      <c r="AC16" s="38" t="s">
        <v>43</v>
      </c>
      <c r="AD16" s="38" t="str">
        <f t="shared" si="2"/>
        <v>WO</v>
      </c>
      <c r="AE16" s="38" t="s">
        <v>43</v>
      </c>
      <c r="AF16" s="38" t="s">
        <v>43</v>
      </c>
      <c r="AG16" s="38" t="s">
        <v>43</v>
      </c>
      <c r="AH16" s="38" t="s">
        <v>43</v>
      </c>
      <c r="AI16" s="38" t="s">
        <v>43</v>
      </c>
      <c r="AJ16" s="38" t="s">
        <v>43</v>
      </c>
      <c r="AK16" s="38" t="str">
        <f t="shared" si="2"/>
        <v>WO</v>
      </c>
      <c r="AL16" s="38" t="s">
        <v>43</v>
      </c>
      <c r="AM16" s="38" t="s">
        <v>43</v>
      </c>
      <c r="AN16" s="38" t="s">
        <v>43</v>
      </c>
      <c r="AO16" s="39"/>
      <c r="AP16" s="31"/>
      <c r="AQ16" s="36"/>
      <c r="AR16" s="19">
        <v>8</v>
      </c>
      <c r="AS16" s="19">
        <v>1008</v>
      </c>
      <c r="AT16" s="19" t="str">
        <f t="shared" si="3"/>
        <v>April</v>
      </c>
      <c r="AU16" s="19" t="s">
        <v>10</v>
      </c>
      <c r="AV16" s="27">
        <f t="shared" si="4"/>
        <v>24</v>
      </c>
      <c r="AW16" s="22">
        <f t="shared" si="5"/>
        <v>0</v>
      </c>
      <c r="AX16" s="22">
        <f t="shared" si="6"/>
        <v>2</v>
      </c>
      <c r="AY16" s="22">
        <f t="shared" si="7"/>
        <v>4</v>
      </c>
      <c r="AZ16" s="22">
        <f t="shared" si="8"/>
        <v>30</v>
      </c>
      <c r="BA16" s="22">
        <f>Apr_Month[[#This Row],[Days]]-Apr_Month[[#This Row],[Absent]]</f>
        <v>30</v>
      </c>
      <c r="BB16" s="23">
        <v>50000</v>
      </c>
      <c r="BC16" s="23">
        <f>Apr_Month[[#This Row],[Salary]]/Apr_Month[[#This Row],[Days]]</f>
        <v>1666.6666666666667</v>
      </c>
      <c r="BD16" s="24">
        <f>Apr_Month[[#This Row],[PerDay Salary]]*Apr_Month[[#This Row],[Absent]]</f>
        <v>0</v>
      </c>
      <c r="BE16" s="23">
        <f>Apr_Month[[#This Row],[Salary]]-Apr_Month[[#This Row],[Deduction]]</f>
        <v>50000</v>
      </c>
      <c r="BF16" s="22"/>
      <c r="BG16" s="36"/>
    </row>
    <row r="17" spans="1:59" ht="15.75" x14ac:dyDescent="0.25">
      <c r="A17"/>
      <c r="B17"/>
      <c r="C17"/>
      <c r="D17" s="29"/>
      <c r="F17" s="31"/>
      <c r="G17" s="3">
        <v>9</v>
      </c>
      <c r="H17" s="4">
        <v>1009</v>
      </c>
      <c r="I17" s="5" t="s">
        <v>11</v>
      </c>
      <c r="J17" s="37">
        <f t="shared" si="9"/>
        <v>4</v>
      </c>
      <c r="K17" s="38" t="s">
        <v>43</v>
      </c>
      <c r="L17" s="38" t="s">
        <v>43</v>
      </c>
      <c r="M17" s="38" t="s">
        <v>43</v>
      </c>
      <c r="N17" s="38" t="s">
        <v>43</v>
      </c>
      <c r="O17" s="38" t="s">
        <v>43</v>
      </c>
      <c r="P17" s="38" t="str">
        <f t="shared" si="2"/>
        <v>WO</v>
      </c>
      <c r="Q17" s="38" t="s">
        <v>43</v>
      </c>
      <c r="R17" s="38" t="s">
        <v>43</v>
      </c>
      <c r="S17" s="38" t="s">
        <v>43</v>
      </c>
      <c r="T17" s="38" t="s">
        <v>43</v>
      </c>
      <c r="U17" s="38" t="s">
        <v>43</v>
      </c>
      <c r="V17" s="38" t="s">
        <v>42</v>
      </c>
      <c r="W17" s="38" t="str">
        <f t="shared" si="2"/>
        <v>WO</v>
      </c>
      <c r="X17" s="38" t="s">
        <v>43</v>
      </c>
      <c r="Y17" s="38" t="s">
        <v>43</v>
      </c>
      <c r="Z17" s="38" t="s">
        <v>42</v>
      </c>
      <c r="AA17" s="38" t="s">
        <v>43</v>
      </c>
      <c r="AB17" s="38" t="s">
        <v>43</v>
      </c>
      <c r="AC17" s="38" t="s">
        <v>43</v>
      </c>
      <c r="AD17" s="38" t="str">
        <f t="shared" ref="AD17:AK17" si="10">IF(AD$7="Sun","WO","")</f>
        <v>WO</v>
      </c>
      <c r="AE17" s="38" t="s">
        <v>43</v>
      </c>
      <c r="AF17" s="38" t="s">
        <v>43</v>
      </c>
      <c r="AG17" s="38" t="s">
        <v>43</v>
      </c>
      <c r="AH17" s="38" t="s">
        <v>43</v>
      </c>
      <c r="AI17" s="38" t="s">
        <v>43</v>
      </c>
      <c r="AJ17" s="38" t="s">
        <v>43</v>
      </c>
      <c r="AK17" s="38" t="str">
        <f t="shared" si="10"/>
        <v>WO</v>
      </c>
      <c r="AL17" s="38" t="s">
        <v>43</v>
      </c>
      <c r="AM17" s="38" t="s">
        <v>43</v>
      </c>
      <c r="AN17" s="38" t="s">
        <v>43</v>
      </c>
      <c r="AO17" s="39"/>
      <c r="AP17" s="31"/>
      <c r="AQ17" s="36"/>
      <c r="AR17" s="19">
        <v>9</v>
      </c>
      <c r="AS17" s="19">
        <v>1009</v>
      </c>
      <c r="AT17" s="19" t="str">
        <f t="shared" si="3"/>
        <v>April</v>
      </c>
      <c r="AU17" s="19" t="s">
        <v>11</v>
      </c>
      <c r="AV17" s="27">
        <f t="shared" si="4"/>
        <v>24</v>
      </c>
      <c r="AW17" s="22">
        <f t="shared" si="5"/>
        <v>0</v>
      </c>
      <c r="AX17" s="22">
        <f t="shared" si="6"/>
        <v>2</v>
      </c>
      <c r="AY17" s="22">
        <f t="shared" si="7"/>
        <v>4</v>
      </c>
      <c r="AZ17" s="22">
        <f t="shared" si="8"/>
        <v>30</v>
      </c>
      <c r="BA17" s="22">
        <f>Apr_Month[[#This Row],[Days]]-Apr_Month[[#This Row],[Absent]]</f>
        <v>30</v>
      </c>
      <c r="BB17" s="23">
        <v>25000</v>
      </c>
      <c r="BC17" s="23">
        <f>Apr_Month[[#This Row],[Salary]]/Apr_Month[[#This Row],[Days]]</f>
        <v>833.33333333333337</v>
      </c>
      <c r="BD17" s="24">
        <f>Apr_Month[[#This Row],[PerDay Salary]]*Apr_Month[[#This Row],[Absent]]</f>
        <v>0</v>
      </c>
      <c r="BE17" s="23">
        <f>Apr_Month[[#This Row],[Salary]]-Apr_Month[[#This Row],[Deduction]]</f>
        <v>25000</v>
      </c>
      <c r="BF17" s="22"/>
      <c r="BG17" s="36"/>
    </row>
    <row r="18" spans="1:59" ht="15.75" x14ac:dyDescent="0.25">
      <c r="A18"/>
      <c r="B18"/>
      <c r="C18"/>
      <c r="D18" s="29"/>
      <c r="F18" s="31"/>
      <c r="G18" s="3">
        <v>10</v>
      </c>
      <c r="H18" s="4">
        <v>1010</v>
      </c>
      <c r="I18" s="5" t="s">
        <v>12</v>
      </c>
      <c r="J18" s="37">
        <f t="shared" si="9"/>
        <v>4</v>
      </c>
      <c r="K18" s="38" t="s">
        <v>44</v>
      </c>
      <c r="L18" s="38" t="s">
        <v>44</v>
      </c>
      <c r="M18" s="38" t="s">
        <v>44</v>
      </c>
      <c r="N18" s="38" t="s">
        <v>43</v>
      </c>
      <c r="O18" s="38" t="s">
        <v>43</v>
      </c>
      <c r="P18" s="38" t="str">
        <f t="shared" ref="P18:W28" si="11">IF(P$7="Sun","WO","")</f>
        <v>WO</v>
      </c>
      <c r="Q18" s="38" t="s">
        <v>43</v>
      </c>
      <c r="R18" s="38" t="s">
        <v>43</v>
      </c>
      <c r="S18" s="38" t="s">
        <v>43</v>
      </c>
      <c r="T18" s="38" t="s">
        <v>43</v>
      </c>
      <c r="U18" s="38" t="s">
        <v>43</v>
      </c>
      <c r="V18" s="38" t="s">
        <v>42</v>
      </c>
      <c r="W18" s="38" t="str">
        <f t="shared" si="11"/>
        <v>WO</v>
      </c>
      <c r="X18" s="38" t="s">
        <v>43</v>
      </c>
      <c r="Y18" s="38" t="s">
        <v>43</v>
      </c>
      <c r="Z18" s="38" t="s">
        <v>42</v>
      </c>
      <c r="AA18" s="38" t="s">
        <v>43</v>
      </c>
      <c r="AB18" s="38" t="s">
        <v>43</v>
      </c>
      <c r="AC18" s="38" t="s">
        <v>43</v>
      </c>
      <c r="AD18" s="38" t="str">
        <f t="shared" ref="AD18:AK28" si="12">IF(AD$7="Sun","WO","")</f>
        <v>WO</v>
      </c>
      <c r="AE18" s="38" t="s">
        <v>43</v>
      </c>
      <c r="AF18" s="38" t="s">
        <v>43</v>
      </c>
      <c r="AG18" s="38" t="s">
        <v>43</v>
      </c>
      <c r="AH18" s="38" t="s">
        <v>43</v>
      </c>
      <c r="AI18" s="38" t="s">
        <v>43</v>
      </c>
      <c r="AJ18" s="38" t="s">
        <v>43</v>
      </c>
      <c r="AK18" s="38" t="str">
        <f t="shared" si="12"/>
        <v>WO</v>
      </c>
      <c r="AL18" s="38" t="s">
        <v>43</v>
      </c>
      <c r="AM18" s="38" t="s">
        <v>43</v>
      </c>
      <c r="AN18" s="38" t="s">
        <v>43</v>
      </c>
      <c r="AO18" s="39"/>
      <c r="AP18" s="31"/>
      <c r="AQ18" s="36"/>
      <c r="AR18" s="19">
        <v>10</v>
      </c>
      <c r="AS18" s="19">
        <v>1010</v>
      </c>
      <c r="AT18" s="19" t="str">
        <f t="shared" si="3"/>
        <v>April</v>
      </c>
      <c r="AU18" s="19" t="s">
        <v>12</v>
      </c>
      <c r="AV18" s="27">
        <f t="shared" si="4"/>
        <v>21</v>
      </c>
      <c r="AW18" s="22">
        <f t="shared" si="5"/>
        <v>3</v>
      </c>
      <c r="AX18" s="22">
        <f t="shared" si="6"/>
        <v>2</v>
      </c>
      <c r="AY18" s="22">
        <f t="shared" si="7"/>
        <v>4</v>
      </c>
      <c r="AZ18" s="22">
        <f t="shared" si="8"/>
        <v>30</v>
      </c>
      <c r="BA18" s="22">
        <f>Apr_Month[[#This Row],[Days]]-Apr_Month[[#This Row],[Absent]]</f>
        <v>27</v>
      </c>
      <c r="BB18" s="23">
        <v>45000</v>
      </c>
      <c r="BC18" s="23">
        <f>Apr_Month[[#This Row],[Salary]]/Apr_Month[[#This Row],[Days]]</f>
        <v>1500</v>
      </c>
      <c r="BD18" s="24">
        <f>Apr_Month[[#This Row],[PerDay Salary]]*Apr_Month[[#This Row],[Absent]]</f>
        <v>4500</v>
      </c>
      <c r="BE18" s="23">
        <f>Apr_Month[[#This Row],[Salary]]-Apr_Month[[#This Row],[Deduction]]</f>
        <v>40500</v>
      </c>
      <c r="BF18" s="22"/>
      <c r="BG18" s="36"/>
    </row>
    <row r="19" spans="1:59" ht="15.75" x14ac:dyDescent="0.25">
      <c r="A19"/>
      <c r="B19"/>
      <c r="C19"/>
      <c r="D19" s="29"/>
      <c r="F19" s="31"/>
      <c r="G19" s="3">
        <v>11</v>
      </c>
      <c r="H19" s="4">
        <v>1011</v>
      </c>
      <c r="I19" s="5" t="s">
        <v>13</v>
      </c>
      <c r="J19" s="37">
        <f t="shared" si="9"/>
        <v>4</v>
      </c>
      <c r="K19" s="38" t="s">
        <v>43</v>
      </c>
      <c r="L19" s="38" t="s">
        <v>43</v>
      </c>
      <c r="M19" s="38" t="s">
        <v>43</v>
      </c>
      <c r="N19" s="38" t="s">
        <v>43</v>
      </c>
      <c r="O19" s="38" t="s">
        <v>43</v>
      </c>
      <c r="P19" s="38" t="str">
        <f t="shared" si="11"/>
        <v>WO</v>
      </c>
      <c r="Q19" s="38" t="s">
        <v>43</v>
      </c>
      <c r="R19" s="38" t="s">
        <v>43</v>
      </c>
      <c r="S19" s="38" t="s">
        <v>43</v>
      </c>
      <c r="T19" s="38" t="s">
        <v>43</v>
      </c>
      <c r="U19" s="38" t="s">
        <v>43</v>
      </c>
      <c r="V19" s="38" t="s">
        <v>42</v>
      </c>
      <c r="W19" s="38" t="str">
        <f t="shared" si="11"/>
        <v>WO</v>
      </c>
      <c r="X19" s="38" t="s">
        <v>43</v>
      </c>
      <c r="Y19" s="38" t="s">
        <v>43</v>
      </c>
      <c r="Z19" s="38" t="s">
        <v>42</v>
      </c>
      <c r="AA19" s="38" t="s">
        <v>43</v>
      </c>
      <c r="AB19" s="38" t="s">
        <v>43</v>
      </c>
      <c r="AC19" s="38" t="s">
        <v>43</v>
      </c>
      <c r="AD19" s="38" t="str">
        <f t="shared" si="12"/>
        <v>WO</v>
      </c>
      <c r="AE19" s="38" t="s">
        <v>43</v>
      </c>
      <c r="AF19" s="38" t="s">
        <v>43</v>
      </c>
      <c r="AG19" s="38" t="s">
        <v>43</v>
      </c>
      <c r="AH19" s="38" t="s">
        <v>43</v>
      </c>
      <c r="AI19" s="38" t="s">
        <v>43</v>
      </c>
      <c r="AJ19" s="38" t="s">
        <v>43</v>
      </c>
      <c r="AK19" s="38" t="str">
        <f t="shared" si="12"/>
        <v>WO</v>
      </c>
      <c r="AL19" s="38" t="s">
        <v>43</v>
      </c>
      <c r="AM19" s="38" t="s">
        <v>44</v>
      </c>
      <c r="AN19" s="38" t="s">
        <v>43</v>
      </c>
      <c r="AO19" s="39"/>
      <c r="AP19" s="31"/>
      <c r="AQ19" s="36"/>
      <c r="AR19" s="19">
        <v>11</v>
      </c>
      <c r="AS19" s="19">
        <v>1011</v>
      </c>
      <c r="AT19" s="19" t="str">
        <f t="shared" si="3"/>
        <v>April</v>
      </c>
      <c r="AU19" s="19" t="s">
        <v>13</v>
      </c>
      <c r="AV19" s="27">
        <f t="shared" si="4"/>
        <v>23</v>
      </c>
      <c r="AW19" s="22">
        <f t="shared" si="5"/>
        <v>1</v>
      </c>
      <c r="AX19" s="22">
        <f t="shared" si="6"/>
        <v>2</v>
      </c>
      <c r="AY19" s="22">
        <f t="shared" si="7"/>
        <v>4</v>
      </c>
      <c r="AZ19" s="22">
        <f t="shared" si="8"/>
        <v>30</v>
      </c>
      <c r="BA19" s="22">
        <f>Apr_Month[[#This Row],[Days]]-Apr_Month[[#This Row],[Absent]]</f>
        <v>29</v>
      </c>
      <c r="BB19" s="23">
        <v>48000</v>
      </c>
      <c r="BC19" s="23">
        <f>Apr_Month[[#This Row],[Salary]]/Apr_Month[[#This Row],[Days]]</f>
        <v>1600</v>
      </c>
      <c r="BD19" s="24">
        <f>Apr_Month[[#This Row],[PerDay Salary]]*Apr_Month[[#This Row],[Absent]]</f>
        <v>1600</v>
      </c>
      <c r="BE19" s="23">
        <f>Apr_Month[[#This Row],[Salary]]-Apr_Month[[#This Row],[Deduction]]</f>
        <v>46400</v>
      </c>
      <c r="BF19" s="22"/>
      <c r="BG19" s="36"/>
    </row>
    <row r="20" spans="1:59" ht="15.75" x14ac:dyDescent="0.25">
      <c r="A20"/>
      <c r="B20"/>
      <c r="C20"/>
      <c r="D20" s="29"/>
      <c r="F20" s="31"/>
      <c r="G20" s="3">
        <v>12</v>
      </c>
      <c r="H20" s="4">
        <v>1012</v>
      </c>
      <c r="I20" s="5" t="s">
        <v>14</v>
      </c>
      <c r="J20" s="37">
        <f t="shared" si="9"/>
        <v>4</v>
      </c>
      <c r="K20" s="38" t="s">
        <v>43</v>
      </c>
      <c r="L20" s="38" t="s">
        <v>43</v>
      </c>
      <c r="M20" s="38" t="s">
        <v>43</v>
      </c>
      <c r="N20" s="38" t="s">
        <v>43</v>
      </c>
      <c r="O20" s="38" t="s">
        <v>43</v>
      </c>
      <c r="P20" s="38" t="str">
        <f t="shared" si="11"/>
        <v>WO</v>
      </c>
      <c r="Q20" s="38" t="s">
        <v>43</v>
      </c>
      <c r="R20" s="38" t="s">
        <v>43</v>
      </c>
      <c r="S20" s="38" t="s">
        <v>43</v>
      </c>
      <c r="T20" s="38" t="s">
        <v>43</v>
      </c>
      <c r="U20" s="38" t="s">
        <v>43</v>
      </c>
      <c r="V20" s="38" t="s">
        <v>42</v>
      </c>
      <c r="W20" s="38" t="str">
        <f t="shared" si="11"/>
        <v>WO</v>
      </c>
      <c r="X20" s="38" t="s">
        <v>43</v>
      </c>
      <c r="Y20" s="38" t="s">
        <v>43</v>
      </c>
      <c r="Z20" s="38" t="s">
        <v>42</v>
      </c>
      <c r="AA20" s="38" t="s">
        <v>43</v>
      </c>
      <c r="AB20" s="38" t="s">
        <v>43</v>
      </c>
      <c r="AC20" s="38" t="s">
        <v>43</v>
      </c>
      <c r="AD20" s="38" t="str">
        <f t="shared" si="12"/>
        <v>WO</v>
      </c>
      <c r="AE20" s="38" t="s">
        <v>43</v>
      </c>
      <c r="AF20" s="38" t="s">
        <v>43</v>
      </c>
      <c r="AG20" s="38" t="s">
        <v>43</v>
      </c>
      <c r="AH20" s="38" t="s">
        <v>43</v>
      </c>
      <c r="AI20" s="38" t="s">
        <v>43</v>
      </c>
      <c r="AJ20" s="38" t="s">
        <v>43</v>
      </c>
      <c r="AK20" s="38" t="str">
        <f t="shared" si="12"/>
        <v>WO</v>
      </c>
      <c r="AL20" s="38" t="s">
        <v>43</v>
      </c>
      <c r="AM20" s="38" t="s">
        <v>43</v>
      </c>
      <c r="AN20" s="38" t="s">
        <v>43</v>
      </c>
      <c r="AO20" s="39"/>
      <c r="AP20" s="31"/>
      <c r="AQ20" s="36"/>
      <c r="AR20" s="19">
        <v>12</v>
      </c>
      <c r="AS20" s="19">
        <v>1012</v>
      </c>
      <c r="AT20" s="19" t="str">
        <f t="shared" si="3"/>
        <v>April</v>
      </c>
      <c r="AU20" s="19" t="s">
        <v>14</v>
      </c>
      <c r="AV20" s="27">
        <f t="shared" si="4"/>
        <v>24</v>
      </c>
      <c r="AW20" s="22">
        <f t="shared" si="5"/>
        <v>0</v>
      </c>
      <c r="AX20" s="22">
        <f t="shared" si="6"/>
        <v>2</v>
      </c>
      <c r="AY20" s="22">
        <f t="shared" si="7"/>
        <v>4</v>
      </c>
      <c r="AZ20" s="22">
        <f t="shared" si="8"/>
        <v>30</v>
      </c>
      <c r="BA20" s="22">
        <f>Apr_Month[[#This Row],[Days]]-Apr_Month[[#This Row],[Absent]]</f>
        <v>30</v>
      </c>
      <c r="BB20" s="23">
        <v>52000</v>
      </c>
      <c r="BC20" s="23">
        <f>Apr_Month[[#This Row],[Salary]]/Apr_Month[[#This Row],[Days]]</f>
        <v>1733.3333333333333</v>
      </c>
      <c r="BD20" s="24">
        <f>Apr_Month[[#This Row],[PerDay Salary]]*Apr_Month[[#This Row],[Absent]]</f>
        <v>0</v>
      </c>
      <c r="BE20" s="23">
        <f>Apr_Month[[#This Row],[Salary]]-Apr_Month[[#This Row],[Deduction]]</f>
        <v>52000</v>
      </c>
      <c r="BF20" s="22"/>
      <c r="BG20" s="36"/>
    </row>
    <row r="21" spans="1:59" ht="15.75" x14ac:dyDescent="0.25">
      <c r="A21"/>
      <c r="B21"/>
      <c r="C21"/>
      <c r="D21" s="29"/>
      <c r="F21" s="31"/>
      <c r="G21" s="3">
        <v>13</v>
      </c>
      <c r="H21" s="4">
        <v>1013</v>
      </c>
      <c r="I21" s="5" t="s">
        <v>15</v>
      </c>
      <c r="J21" s="37">
        <f t="shared" si="9"/>
        <v>4</v>
      </c>
      <c r="K21" s="38" t="s">
        <v>43</v>
      </c>
      <c r="L21" s="38" t="s">
        <v>43</v>
      </c>
      <c r="M21" s="38" t="s">
        <v>43</v>
      </c>
      <c r="N21" s="38" t="s">
        <v>43</v>
      </c>
      <c r="O21" s="38" t="s">
        <v>43</v>
      </c>
      <c r="P21" s="38" t="str">
        <f t="shared" si="11"/>
        <v>WO</v>
      </c>
      <c r="Q21" s="38" t="s">
        <v>43</v>
      </c>
      <c r="R21" s="38" t="s">
        <v>43</v>
      </c>
      <c r="S21" s="38" t="s">
        <v>43</v>
      </c>
      <c r="T21" s="38" t="s">
        <v>43</v>
      </c>
      <c r="U21" s="38" t="s">
        <v>43</v>
      </c>
      <c r="V21" s="38" t="s">
        <v>42</v>
      </c>
      <c r="W21" s="38" t="str">
        <f t="shared" si="11"/>
        <v>WO</v>
      </c>
      <c r="X21" s="38" t="s">
        <v>44</v>
      </c>
      <c r="Y21" s="38" t="s">
        <v>43</v>
      </c>
      <c r="Z21" s="38" t="s">
        <v>42</v>
      </c>
      <c r="AA21" s="38" t="s">
        <v>43</v>
      </c>
      <c r="AB21" s="38" t="s">
        <v>43</v>
      </c>
      <c r="AC21" s="38" t="s">
        <v>43</v>
      </c>
      <c r="AD21" s="38" t="str">
        <f t="shared" si="12"/>
        <v>WO</v>
      </c>
      <c r="AE21" s="38" t="s">
        <v>43</v>
      </c>
      <c r="AF21" s="38" t="s">
        <v>43</v>
      </c>
      <c r="AG21" s="38" t="s">
        <v>43</v>
      </c>
      <c r="AH21" s="38" t="s">
        <v>43</v>
      </c>
      <c r="AI21" s="38" t="s">
        <v>43</v>
      </c>
      <c r="AJ21" s="38" t="s">
        <v>43</v>
      </c>
      <c r="AK21" s="38" t="str">
        <f t="shared" si="12"/>
        <v>WO</v>
      </c>
      <c r="AL21" s="38" t="s">
        <v>43</v>
      </c>
      <c r="AM21" s="38" t="s">
        <v>43</v>
      </c>
      <c r="AN21" s="38" t="s">
        <v>43</v>
      </c>
      <c r="AO21" s="39"/>
      <c r="AP21" s="31"/>
      <c r="AQ21" s="36"/>
      <c r="AR21" s="19">
        <v>13</v>
      </c>
      <c r="AS21" s="19">
        <v>1013</v>
      </c>
      <c r="AT21" s="19" t="str">
        <f t="shared" si="3"/>
        <v>April</v>
      </c>
      <c r="AU21" s="19" t="s">
        <v>15</v>
      </c>
      <c r="AV21" s="27">
        <f t="shared" si="4"/>
        <v>23</v>
      </c>
      <c r="AW21" s="22">
        <f t="shared" si="5"/>
        <v>1</v>
      </c>
      <c r="AX21" s="22">
        <f t="shared" si="6"/>
        <v>2</v>
      </c>
      <c r="AY21" s="22">
        <f t="shared" si="7"/>
        <v>4</v>
      </c>
      <c r="AZ21" s="22">
        <f t="shared" si="8"/>
        <v>30</v>
      </c>
      <c r="BA21" s="22">
        <f>Apr_Month[[#This Row],[Days]]-Apr_Month[[#This Row],[Absent]]</f>
        <v>29</v>
      </c>
      <c r="BB21" s="23">
        <v>42000</v>
      </c>
      <c r="BC21" s="23">
        <f>Apr_Month[[#This Row],[Salary]]/Apr_Month[[#This Row],[Days]]</f>
        <v>1400</v>
      </c>
      <c r="BD21" s="24">
        <f>Apr_Month[[#This Row],[PerDay Salary]]*Apr_Month[[#This Row],[Absent]]</f>
        <v>1400</v>
      </c>
      <c r="BE21" s="23">
        <f>Apr_Month[[#This Row],[Salary]]-Apr_Month[[#This Row],[Deduction]]</f>
        <v>40600</v>
      </c>
      <c r="BF21" s="22"/>
      <c r="BG21" s="36"/>
    </row>
    <row r="22" spans="1:59" ht="15.75" x14ac:dyDescent="0.25">
      <c r="A22"/>
      <c r="B22"/>
      <c r="C22"/>
      <c r="D22" s="29"/>
      <c r="F22" s="31"/>
      <c r="G22" s="3">
        <v>14</v>
      </c>
      <c r="H22" s="4">
        <v>1014</v>
      </c>
      <c r="I22" s="5" t="s">
        <v>16</v>
      </c>
      <c r="J22" s="37">
        <f t="shared" si="9"/>
        <v>4</v>
      </c>
      <c r="K22" s="38" t="s">
        <v>43</v>
      </c>
      <c r="L22" s="38" t="s">
        <v>43</v>
      </c>
      <c r="M22" s="38" t="s">
        <v>43</v>
      </c>
      <c r="N22" s="38" t="s">
        <v>43</v>
      </c>
      <c r="O22" s="38" t="s">
        <v>43</v>
      </c>
      <c r="P22" s="38" t="str">
        <f t="shared" si="11"/>
        <v>WO</v>
      </c>
      <c r="Q22" s="38" t="s">
        <v>43</v>
      </c>
      <c r="R22" s="38" t="s">
        <v>43</v>
      </c>
      <c r="S22" s="38" t="s">
        <v>43</v>
      </c>
      <c r="T22" s="38" t="s">
        <v>43</v>
      </c>
      <c r="U22" s="38" t="s">
        <v>43</v>
      </c>
      <c r="V22" s="38" t="s">
        <v>42</v>
      </c>
      <c r="W22" s="38" t="str">
        <f t="shared" si="11"/>
        <v>WO</v>
      </c>
      <c r="X22" s="38" t="s">
        <v>43</v>
      </c>
      <c r="Y22" s="38" t="s">
        <v>43</v>
      </c>
      <c r="Z22" s="38" t="s">
        <v>42</v>
      </c>
      <c r="AA22" s="38" t="s">
        <v>43</v>
      </c>
      <c r="AB22" s="38" t="s">
        <v>43</v>
      </c>
      <c r="AC22" s="38" t="s">
        <v>43</v>
      </c>
      <c r="AD22" s="38" t="str">
        <f t="shared" si="12"/>
        <v>WO</v>
      </c>
      <c r="AE22" s="38" t="s">
        <v>43</v>
      </c>
      <c r="AF22" s="38" t="s">
        <v>43</v>
      </c>
      <c r="AG22" s="38" t="s">
        <v>43</v>
      </c>
      <c r="AH22" s="38" t="s">
        <v>43</v>
      </c>
      <c r="AI22" s="38" t="s">
        <v>43</v>
      </c>
      <c r="AJ22" s="38" t="s">
        <v>43</v>
      </c>
      <c r="AK22" s="38" t="str">
        <f t="shared" si="12"/>
        <v>WO</v>
      </c>
      <c r="AL22" s="38" t="s">
        <v>44</v>
      </c>
      <c r="AM22" s="38" t="s">
        <v>43</v>
      </c>
      <c r="AN22" s="38" t="s">
        <v>43</v>
      </c>
      <c r="AO22" s="39"/>
      <c r="AP22" s="31"/>
      <c r="AQ22" s="36"/>
      <c r="AR22" s="19">
        <v>14</v>
      </c>
      <c r="AS22" s="19">
        <v>1014</v>
      </c>
      <c r="AT22" s="19" t="str">
        <f t="shared" si="3"/>
        <v>April</v>
      </c>
      <c r="AU22" s="19" t="s">
        <v>16</v>
      </c>
      <c r="AV22" s="27">
        <f t="shared" si="4"/>
        <v>23</v>
      </c>
      <c r="AW22" s="22">
        <f t="shared" si="5"/>
        <v>1</v>
      </c>
      <c r="AX22" s="22">
        <f t="shared" si="6"/>
        <v>2</v>
      </c>
      <c r="AY22" s="22">
        <f t="shared" si="7"/>
        <v>4</v>
      </c>
      <c r="AZ22" s="22">
        <f t="shared" si="8"/>
        <v>30</v>
      </c>
      <c r="BA22" s="22">
        <f>Apr_Month[[#This Row],[Days]]-Apr_Month[[#This Row],[Absent]]</f>
        <v>29</v>
      </c>
      <c r="BB22" s="23">
        <v>15000</v>
      </c>
      <c r="BC22" s="23">
        <f>Apr_Month[[#This Row],[Salary]]/Apr_Month[[#This Row],[Days]]</f>
        <v>500</v>
      </c>
      <c r="BD22" s="24">
        <f>Apr_Month[[#This Row],[PerDay Salary]]*Apr_Month[[#This Row],[Absent]]</f>
        <v>500</v>
      </c>
      <c r="BE22" s="23">
        <f>Apr_Month[[#This Row],[Salary]]-Apr_Month[[#This Row],[Deduction]]</f>
        <v>14500</v>
      </c>
      <c r="BF22" s="22"/>
      <c r="BG22" s="36"/>
    </row>
    <row r="23" spans="1:59" ht="15.75" x14ac:dyDescent="0.25">
      <c r="A23"/>
      <c r="B23"/>
      <c r="C23"/>
      <c r="D23" s="29"/>
      <c r="F23" s="31"/>
      <c r="G23" s="3">
        <v>15</v>
      </c>
      <c r="H23" s="4">
        <v>1015</v>
      </c>
      <c r="I23" s="5" t="s">
        <v>17</v>
      </c>
      <c r="J23" s="37">
        <f t="shared" si="9"/>
        <v>4</v>
      </c>
      <c r="K23" s="38" t="s">
        <v>43</v>
      </c>
      <c r="L23" s="38" t="s">
        <v>43</v>
      </c>
      <c r="M23" s="38" t="s">
        <v>43</v>
      </c>
      <c r="N23" s="38" t="s">
        <v>43</v>
      </c>
      <c r="O23" s="38" t="s">
        <v>43</v>
      </c>
      <c r="P23" s="38" t="str">
        <f t="shared" si="11"/>
        <v>WO</v>
      </c>
      <c r="Q23" s="38" t="s">
        <v>43</v>
      </c>
      <c r="R23" s="38" t="s">
        <v>43</v>
      </c>
      <c r="S23" s="38" t="s">
        <v>43</v>
      </c>
      <c r="T23" s="38" t="s">
        <v>43</v>
      </c>
      <c r="U23" s="38" t="s">
        <v>43</v>
      </c>
      <c r="V23" s="38" t="s">
        <v>42</v>
      </c>
      <c r="W23" s="38" t="str">
        <f t="shared" si="11"/>
        <v>WO</v>
      </c>
      <c r="X23" s="38" t="s">
        <v>43</v>
      </c>
      <c r="Y23" s="38" t="s">
        <v>43</v>
      </c>
      <c r="Z23" s="38" t="s">
        <v>42</v>
      </c>
      <c r="AA23" s="38" t="s">
        <v>43</v>
      </c>
      <c r="AB23" s="38" t="s">
        <v>43</v>
      </c>
      <c r="AC23" s="38" t="s">
        <v>43</v>
      </c>
      <c r="AD23" s="38" t="str">
        <f t="shared" si="12"/>
        <v>WO</v>
      </c>
      <c r="AE23" s="38" t="s">
        <v>43</v>
      </c>
      <c r="AF23" s="38" t="s">
        <v>43</v>
      </c>
      <c r="AG23" s="38" t="s">
        <v>44</v>
      </c>
      <c r="AH23" s="38" t="s">
        <v>43</v>
      </c>
      <c r="AI23" s="38" t="s">
        <v>43</v>
      </c>
      <c r="AJ23" s="38" t="s">
        <v>43</v>
      </c>
      <c r="AK23" s="38" t="str">
        <f t="shared" si="12"/>
        <v>WO</v>
      </c>
      <c r="AL23" s="38" t="s">
        <v>43</v>
      </c>
      <c r="AM23" s="38" t="s">
        <v>43</v>
      </c>
      <c r="AN23" s="38" t="s">
        <v>43</v>
      </c>
      <c r="AO23" s="39"/>
      <c r="AP23" s="31"/>
      <c r="AQ23" s="36"/>
      <c r="AR23" s="19">
        <v>15</v>
      </c>
      <c r="AS23" s="19">
        <v>1015</v>
      </c>
      <c r="AT23" s="19" t="str">
        <f t="shared" si="3"/>
        <v>April</v>
      </c>
      <c r="AU23" s="19" t="s">
        <v>17</v>
      </c>
      <c r="AV23" s="27">
        <f t="shared" si="4"/>
        <v>23</v>
      </c>
      <c r="AW23" s="22">
        <f t="shared" si="5"/>
        <v>1</v>
      </c>
      <c r="AX23" s="22">
        <f t="shared" si="6"/>
        <v>2</v>
      </c>
      <c r="AY23" s="22">
        <f t="shared" si="7"/>
        <v>4</v>
      </c>
      <c r="AZ23" s="22">
        <f t="shared" si="8"/>
        <v>30</v>
      </c>
      <c r="BA23" s="22">
        <f>Apr_Month[[#This Row],[Days]]-Apr_Month[[#This Row],[Absent]]</f>
        <v>29</v>
      </c>
      <c r="BB23" s="23">
        <v>46000</v>
      </c>
      <c r="BC23" s="23">
        <f>Apr_Month[[#This Row],[Salary]]/Apr_Month[[#This Row],[Days]]</f>
        <v>1533.3333333333333</v>
      </c>
      <c r="BD23" s="24">
        <f>Apr_Month[[#This Row],[PerDay Salary]]*Apr_Month[[#This Row],[Absent]]</f>
        <v>1533.3333333333333</v>
      </c>
      <c r="BE23" s="23">
        <f>Apr_Month[[#This Row],[Salary]]-Apr_Month[[#This Row],[Deduction]]</f>
        <v>44466.666666666664</v>
      </c>
      <c r="BF23" s="22"/>
      <c r="BG23" s="36"/>
    </row>
    <row r="24" spans="1:59" ht="15.75" x14ac:dyDescent="0.25">
      <c r="A24"/>
      <c r="B24"/>
      <c r="C24"/>
      <c r="D24" s="29"/>
      <c r="F24" s="31"/>
      <c r="G24" s="3">
        <v>16</v>
      </c>
      <c r="H24" s="4">
        <v>1016</v>
      </c>
      <c r="I24" s="5" t="s">
        <v>18</v>
      </c>
      <c r="J24" s="37">
        <f t="shared" si="9"/>
        <v>4</v>
      </c>
      <c r="K24" s="38" t="s">
        <v>43</v>
      </c>
      <c r="L24" s="38" t="s">
        <v>43</v>
      </c>
      <c r="M24" s="38" t="s">
        <v>43</v>
      </c>
      <c r="N24" s="38" t="s">
        <v>43</v>
      </c>
      <c r="O24" s="38" t="s">
        <v>43</v>
      </c>
      <c r="P24" s="38" t="str">
        <f t="shared" si="11"/>
        <v>WO</v>
      </c>
      <c r="Q24" s="38" t="s">
        <v>43</v>
      </c>
      <c r="R24" s="38" t="s">
        <v>43</v>
      </c>
      <c r="S24" s="38" t="s">
        <v>43</v>
      </c>
      <c r="T24" s="38" t="s">
        <v>43</v>
      </c>
      <c r="U24" s="38" t="s">
        <v>44</v>
      </c>
      <c r="V24" s="38" t="s">
        <v>42</v>
      </c>
      <c r="W24" s="38" t="str">
        <f t="shared" si="11"/>
        <v>WO</v>
      </c>
      <c r="X24" s="38" t="s">
        <v>43</v>
      </c>
      <c r="Y24" s="38" t="s">
        <v>43</v>
      </c>
      <c r="Z24" s="38" t="s">
        <v>42</v>
      </c>
      <c r="AA24" s="38" t="s">
        <v>43</v>
      </c>
      <c r="AB24" s="38" t="s">
        <v>43</v>
      </c>
      <c r="AC24" s="38" t="s">
        <v>43</v>
      </c>
      <c r="AD24" s="38" t="str">
        <f t="shared" si="12"/>
        <v>WO</v>
      </c>
      <c r="AE24" s="38" t="s">
        <v>43</v>
      </c>
      <c r="AF24" s="38" t="s">
        <v>43</v>
      </c>
      <c r="AG24" s="38" t="s">
        <v>43</v>
      </c>
      <c r="AH24" s="38" t="s">
        <v>43</v>
      </c>
      <c r="AI24" s="38" t="s">
        <v>43</v>
      </c>
      <c r="AJ24" s="38" t="s">
        <v>43</v>
      </c>
      <c r="AK24" s="38" t="str">
        <f t="shared" si="12"/>
        <v>WO</v>
      </c>
      <c r="AL24" s="38" t="s">
        <v>43</v>
      </c>
      <c r="AM24" s="38" t="s">
        <v>43</v>
      </c>
      <c r="AN24" s="38" t="s">
        <v>44</v>
      </c>
      <c r="AO24" s="39"/>
      <c r="AP24" s="31"/>
      <c r="AQ24" s="36"/>
      <c r="AR24" s="19">
        <v>16</v>
      </c>
      <c r="AS24" s="19">
        <v>1016</v>
      </c>
      <c r="AT24" s="19" t="str">
        <f t="shared" si="3"/>
        <v>April</v>
      </c>
      <c r="AU24" s="19" t="s">
        <v>18</v>
      </c>
      <c r="AV24" s="27">
        <f t="shared" si="4"/>
        <v>22</v>
      </c>
      <c r="AW24" s="22">
        <f t="shared" si="5"/>
        <v>2</v>
      </c>
      <c r="AX24" s="22">
        <f t="shared" si="6"/>
        <v>2</v>
      </c>
      <c r="AY24" s="22">
        <f t="shared" si="7"/>
        <v>4</v>
      </c>
      <c r="AZ24" s="22">
        <f t="shared" si="8"/>
        <v>30</v>
      </c>
      <c r="BA24" s="22">
        <f>Apr_Month[[#This Row],[Days]]-Apr_Month[[#This Row],[Absent]]</f>
        <v>28</v>
      </c>
      <c r="BB24" s="23">
        <v>52000</v>
      </c>
      <c r="BC24" s="23">
        <f>Apr_Month[[#This Row],[Salary]]/Apr_Month[[#This Row],[Days]]</f>
        <v>1733.3333333333333</v>
      </c>
      <c r="BD24" s="24">
        <f>Apr_Month[[#This Row],[PerDay Salary]]*Apr_Month[[#This Row],[Absent]]</f>
        <v>3466.6666666666665</v>
      </c>
      <c r="BE24" s="23">
        <f>Apr_Month[[#This Row],[Salary]]-Apr_Month[[#This Row],[Deduction]]</f>
        <v>48533.333333333336</v>
      </c>
      <c r="BF24" s="22"/>
      <c r="BG24" s="36"/>
    </row>
    <row r="25" spans="1:59" ht="15.75" x14ac:dyDescent="0.25">
      <c r="A25"/>
      <c r="B25"/>
      <c r="C25"/>
      <c r="D25" s="29"/>
      <c r="F25" s="31"/>
      <c r="G25" s="3">
        <v>17</v>
      </c>
      <c r="H25" s="4">
        <v>1017</v>
      </c>
      <c r="I25" s="5" t="s">
        <v>19</v>
      </c>
      <c r="J25" s="37">
        <f t="shared" si="9"/>
        <v>4</v>
      </c>
      <c r="K25" s="38" t="s">
        <v>43</v>
      </c>
      <c r="L25" s="38" t="s">
        <v>43</v>
      </c>
      <c r="M25" s="38" t="s">
        <v>43</v>
      </c>
      <c r="N25" s="38" t="s">
        <v>43</v>
      </c>
      <c r="O25" s="38" t="s">
        <v>43</v>
      </c>
      <c r="P25" s="38" t="str">
        <f t="shared" si="11"/>
        <v>WO</v>
      </c>
      <c r="Q25" s="38" t="s">
        <v>43</v>
      </c>
      <c r="R25" s="38" t="s">
        <v>43</v>
      </c>
      <c r="S25" s="38" t="s">
        <v>43</v>
      </c>
      <c r="T25" s="38" t="s">
        <v>43</v>
      </c>
      <c r="U25" s="38" t="s">
        <v>43</v>
      </c>
      <c r="V25" s="38" t="s">
        <v>42</v>
      </c>
      <c r="W25" s="38" t="str">
        <f t="shared" si="11"/>
        <v>WO</v>
      </c>
      <c r="X25" s="38" t="s">
        <v>43</v>
      </c>
      <c r="Y25" s="38" t="s">
        <v>43</v>
      </c>
      <c r="Z25" s="38" t="s">
        <v>42</v>
      </c>
      <c r="AA25" s="38" t="s">
        <v>43</v>
      </c>
      <c r="AB25" s="38" t="s">
        <v>43</v>
      </c>
      <c r="AC25" s="38" t="s">
        <v>43</v>
      </c>
      <c r="AD25" s="38" t="str">
        <f t="shared" si="12"/>
        <v>WO</v>
      </c>
      <c r="AE25" s="38" t="s">
        <v>43</v>
      </c>
      <c r="AF25" s="38" t="s">
        <v>43</v>
      </c>
      <c r="AG25" s="38" t="s">
        <v>43</v>
      </c>
      <c r="AH25" s="38" t="s">
        <v>43</v>
      </c>
      <c r="AI25" s="38" t="s">
        <v>43</v>
      </c>
      <c r="AJ25" s="38" t="s">
        <v>43</v>
      </c>
      <c r="AK25" s="38" t="str">
        <f t="shared" si="12"/>
        <v>WO</v>
      </c>
      <c r="AL25" s="38" t="s">
        <v>43</v>
      </c>
      <c r="AM25" s="38" t="s">
        <v>43</v>
      </c>
      <c r="AN25" s="38" t="s">
        <v>43</v>
      </c>
      <c r="AO25" s="39"/>
      <c r="AP25" s="31"/>
      <c r="AQ25" s="36"/>
      <c r="AR25" s="19">
        <v>17</v>
      </c>
      <c r="AS25" s="19">
        <v>1017</v>
      </c>
      <c r="AT25" s="19" t="str">
        <f t="shared" si="3"/>
        <v>April</v>
      </c>
      <c r="AU25" s="19" t="s">
        <v>19</v>
      </c>
      <c r="AV25" s="27">
        <f t="shared" si="4"/>
        <v>24</v>
      </c>
      <c r="AW25" s="22">
        <f t="shared" si="5"/>
        <v>0</v>
      </c>
      <c r="AX25" s="22">
        <f t="shared" si="6"/>
        <v>2</v>
      </c>
      <c r="AY25" s="22">
        <f t="shared" si="7"/>
        <v>4</v>
      </c>
      <c r="AZ25" s="22">
        <f t="shared" si="8"/>
        <v>30</v>
      </c>
      <c r="BA25" s="22">
        <f>Apr_Month[[#This Row],[Days]]-Apr_Month[[#This Row],[Absent]]</f>
        <v>30</v>
      </c>
      <c r="BB25" s="23">
        <v>42000</v>
      </c>
      <c r="BC25" s="23">
        <f>Apr_Month[[#This Row],[Salary]]/Apr_Month[[#This Row],[Days]]</f>
        <v>1400</v>
      </c>
      <c r="BD25" s="24">
        <f>Apr_Month[[#This Row],[PerDay Salary]]*Apr_Month[[#This Row],[Absent]]</f>
        <v>0</v>
      </c>
      <c r="BE25" s="23">
        <f>Apr_Month[[#This Row],[Salary]]-Apr_Month[[#This Row],[Deduction]]</f>
        <v>42000</v>
      </c>
      <c r="BF25" s="22"/>
      <c r="BG25" s="36"/>
    </row>
    <row r="26" spans="1:59" ht="15.75" x14ac:dyDescent="0.25">
      <c r="A26"/>
      <c r="B26"/>
      <c r="C26"/>
      <c r="D26" s="29"/>
      <c r="F26" s="31"/>
      <c r="G26" s="3">
        <v>18</v>
      </c>
      <c r="H26" s="4">
        <v>1018</v>
      </c>
      <c r="I26" s="5" t="s">
        <v>20</v>
      </c>
      <c r="J26" s="37">
        <f t="shared" si="9"/>
        <v>4</v>
      </c>
      <c r="K26" s="38" t="s">
        <v>43</v>
      </c>
      <c r="L26" s="38" t="s">
        <v>43</v>
      </c>
      <c r="M26" s="38" t="s">
        <v>43</v>
      </c>
      <c r="N26" s="38" t="s">
        <v>43</v>
      </c>
      <c r="O26" s="38" t="s">
        <v>43</v>
      </c>
      <c r="P26" s="38" t="str">
        <f t="shared" si="11"/>
        <v>WO</v>
      </c>
      <c r="Q26" s="38" t="s">
        <v>43</v>
      </c>
      <c r="R26" s="38" t="s">
        <v>43</v>
      </c>
      <c r="S26" s="38" t="s">
        <v>43</v>
      </c>
      <c r="T26" s="38" t="s">
        <v>43</v>
      </c>
      <c r="U26" s="38" t="s">
        <v>43</v>
      </c>
      <c r="V26" s="38" t="s">
        <v>42</v>
      </c>
      <c r="W26" s="38" t="str">
        <f t="shared" si="11"/>
        <v>WO</v>
      </c>
      <c r="X26" s="38" t="s">
        <v>43</v>
      </c>
      <c r="Y26" s="38" t="s">
        <v>43</v>
      </c>
      <c r="Z26" s="38" t="s">
        <v>42</v>
      </c>
      <c r="AA26" s="38" t="s">
        <v>43</v>
      </c>
      <c r="AB26" s="38" t="s">
        <v>43</v>
      </c>
      <c r="AC26" s="38" t="s">
        <v>43</v>
      </c>
      <c r="AD26" s="38" t="str">
        <f t="shared" si="12"/>
        <v>WO</v>
      </c>
      <c r="AE26" s="38" t="s">
        <v>43</v>
      </c>
      <c r="AF26" s="38" t="s">
        <v>43</v>
      </c>
      <c r="AG26" s="38" t="s">
        <v>43</v>
      </c>
      <c r="AH26" s="38" t="s">
        <v>43</v>
      </c>
      <c r="AI26" s="38" t="s">
        <v>43</v>
      </c>
      <c r="AJ26" s="38" t="s">
        <v>43</v>
      </c>
      <c r="AK26" s="38" t="str">
        <f t="shared" si="12"/>
        <v>WO</v>
      </c>
      <c r="AL26" s="38" t="s">
        <v>43</v>
      </c>
      <c r="AM26" s="38" t="s">
        <v>43</v>
      </c>
      <c r="AN26" s="38" t="s">
        <v>43</v>
      </c>
      <c r="AO26" s="39"/>
      <c r="AP26" s="31"/>
      <c r="AQ26" s="36"/>
      <c r="AR26" s="19">
        <v>18</v>
      </c>
      <c r="AS26" s="19">
        <v>1018</v>
      </c>
      <c r="AT26" s="19" t="str">
        <f t="shared" si="3"/>
        <v>April</v>
      </c>
      <c r="AU26" s="19" t="s">
        <v>20</v>
      </c>
      <c r="AV26" s="27">
        <f t="shared" si="4"/>
        <v>24</v>
      </c>
      <c r="AW26" s="22">
        <f t="shared" si="5"/>
        <v>0</v>
      </c>
      <c r="AX26" s="22">
        <f t="shared" si="6"/>
        <v>2</v>
      </c>
      <c r="AY26" s="22">
        <f t="shared" si="7"/>
        <v>4</v>
      </c>
      <c r="AZ26" s="22">
        <f t="shared" si="8"/>
        <v>30</v>
      </c>
      <c r="BA26" s="22">
        <f>Apr_Month[[#This Row],[Days]]-Apr_Month[[#This Row],[Absent]]</f>
        <v>30</v>
      </c>
      <c r="BB26" s="23">
        <v>62000</v>
      </c>
      <c r="BC26" s="23">
        <f>Apr_Month[[#This Row],[Salary]]/Apr_Month[[#This Row],[Days]]</f>
        <v>2066.6666666666665</v>
      </c>
      <c r="BD26" s="24">
        <f>Apr_Month[[#This Row],[PerDay Salary]]*Apr_Month[[#This Row],[Absent]]</f>
        <v>0</v>
      </c>
      <c r="BE26" s="23">
        <f>Apr_Month[[#This Row],[Salary]]-Apr_Month[[#This Row],[Deduction]]</f>
        <v>62000</v>
      </c>
      <c r="BF26" s="22"/>
      <c r="BG26" s="36"/>
    </row>
    <row r="27" spans="1:59" ht="15.75" x14ac:dyDescent="0.25">
      <c r="A27"/>
      <c r="B27"/>
      <c r="C27"/>
      <c r="D27" s="29"/>
      <c r="F27" s="31"/>
      <c r="G27" s="3">
        <v>19</v>
      </c>
      <c r="H27" s="4">
        <v>1019</v>
      </c>
      <c r="I27" s="5" t="s">
        <v>21</v>
      </c>
      <c r="J27" s="37">
        <f t="shared" si="9"/>
        <v>4</v>
      </c>
      <c r="K27" s="38" t="s">
        <v>43</v>
      </c>
      <c r="L27" s="38" t="s">
        <v>43</v>
      </c>
      <c r="M27" s="38" t="s">
        <v>43</v>
      </c>
      <c r="N27" s="38" t="s">
        <v>44</v>
      </c>
      <c r="O27" s="38" t="s">
        <v>44</v>
      </c>
      <c r="P27" s="38" t="str">
        <f t="shared" si="11"/>
        <v>WO</v>
      </c>
      <c r="Q27" s="38" t="s">
        <v>43</v>
      </c>
      <c r="R27" s="38" t="s">
        <v>43</v>
      </c>
      <c r="S27" s="38" t="s">
        <v>43</v>
      </c>
      <c r="T27" s="38" t="s">
        <v>43</v>
      </c>
      <c r="U27" s="38" t="s">
        <v>43</v>
      </c>
      <c r="V27" s="38" t="s">
        <v>42</v>
      </c>
      <c r="W27" s="38" t="str">
        <f t="shared" si="11"/>
        <v>WO</v>
      </c>
      <c r="X27" s="38" t="s">
        <v>43</v>
      </c>
      <c r="Y27" s="38" t="s">
        <v>43</v>
      </c>
      <c r="Z27" s="38" t="s">
        <v>42</v>
      </c>
      <c r="AA27" s="38" t="s">
        <v>43</v>
      </c>
      <c r="AB27" s="38" t="s">
        <v>43</v>
      </c>
      <c r="AC27" s="38" t="s">
        <v>43</v>
      </c>
      <c r="AD27" s="38" t="str">
        <f t="shared" si="12"/>
        <v>WO</v>
      </c>
      <c r="AE27" s="38" t="s">
        <v>43</v>
      </c>
      <c r="AF27" s="38" t="s">
        <v>43</v>
      </c>
      <c r="AG27" s="38" t="s">
        <v>43</v>
      </c>
      <c r="AH27" s="38" t="s">
        <v>43</v>
      </c>
      <c r="AI27" s="38" t="s">
        <v>43</v>
      </c>
      <c r="AJ27" s="38" t="s">
        <v>43</v>
      </c>
      <c r="AK27" s="38" t="str">
        <f t="shared" si="12"/>
        <v>WO</v>
      </c>
      <c r="AL27" s="38" t="s">
        <v>43</v>
      </c>
      <c r="AM27" s="38" t="s">
        <v>43</v>
      </c>
      <c r="AN27" s="38" t="s">
        <v>43</v>
      </c>
      <c r="AO27" s="39"/>
      <c r="AP27" s="31"/>
      <c r="AQ27" s="36"/>
      <c r="AR27" s="19">
        <v>19</v>
      </c>
      <c r="AS27" s="19">
        <v>1019</v>
      </c>
      <c r="AT27" s="19" t="str">
        <f t="shared" si="3"/>
        <v>April</v>
      </c>
      <c r="AU27" s="19" t="s">
        <v>21</v>
      </c>
      <c r="AV27" s="27">
        <f t="shared" si="4"/>
        <v>22</v>
      </c>
      <c r="AW27" s="22">
        <f t="shared" si="5"/>
        <v>2</v>
      </c>
      <c r="AX27" s="22">
        <f t="shared" si="6"/>
        <v>2</v>
      </c>
      <c r="AY27" s="22">
        <f t="shared" si="7"/>
        <v>4</v>
      </c>
      <c r="AZ27" s="22">
        <f t="shared" si="8"/>
        <v>30</v>
      </c>
      <c r="BA27" s="22">
        <f>Apr_Month[[#This Row],[Days]]-Apr_Month[[#This Row],[Absent]]</f>
        <v>28</v>
      </c>
      <c r="BB27" s="23">
        <v>41000</v>
      </c>
      <c r="BC27" s="23">
        <f>Apr_Month[[#This Row],[Salary]]/Apr_Month[[#This Row],[Days]]</f>
        <v>1366.6666666666667</v>
      </c>
      <c r="BD27" s="24">
        <f>Apr_Month[[#This Row],[PerDay Salary]]*Apr_Month[[#This Row],[Absent]]</f>
        <v>2733.3333333333335</v>
      </c>
      <c r="BE27" s="23">
        <f>Apr_Month[[#This Row],[Salary]]-Apr_Month[[#This Row],[Deduction]]</f>
        <v>38266.666666666664</v>
      </c>
      <c r="BF27" s="22"/>
      <c r="BG27" s="36"/>
    </row>
    <row r="28" spans="1:59" ht="16.5" thickBot="1" x14ac:dyDescent="0.3">
      <c r="A28"/>
      <c r="B28"/>
      <c r="C28"/>
      <c r="D28" s="29"/>
      <c r="F28" s="31"/>
      <c r="G28" s="6">
        <v>20</v>
      </c>
      <c r="H28" s="7">
        <v>1020</v>
      </c>
      <c r="I28" s="8" t="s">
        <v>22</v>
      </c>
      <c r="J28" s="40">
        <f t="shared" si="9"/>
        <v>4</v>
      </c>
      <c r="K28" s="41" t="s">
        <v>43</v>
      </c>
      <c r="L28" s="41" t="s">
        <v>43</v>
      </c>
      <c r="M28" s="41" t="s">
        <v>43</v>
      </c>
      <c r="N28" s="41" t="s">
        <v>43</v>
      </c>
      <c r="O28" s="41" t="s">
        <v>43</v>
      </c>
      <c r="P28" s="41" t="str">
        <f t="shared" si="11"/>
        <v>WO</v>
      </c>
      <c r="Q28" s="41" t="s">
        <v>43</v>
      </c>
      <c r="R28" s="41" t="s">
        <v>43</v>
      </c>
      <c r="S28" s="41" t="s">
        <v>44</v>
      </c>
      <c r="T28" s="41" t="s">
        <v>43</v>
      </c>
      <c r="U28" s="41" t="s">
        <v>43</v>
      </c>
      <c r="V28" s="41" t="s">
        <v>42</v>
      </c>
      <c r="W28" s="41" t="str">
        <f t="shared" si="11"/>
        <v>WO</v>
      </c>
      <c r="X28" s="41" t="s">
        <v>43</v>
      </c>
      <c r="Y28" s="41" t="s">
        <v>43</v>
      </c>
      <c r="Z28" s="41" t="s">
        <v>42</v>
      </c>
      <c r="AA28" s="41" t="s">
        <v>43</v>
      </c>
      <c r="AB28" s="41" t="s">
        <v>43</v>
      </c>
      <c r="AC28" s="41" t="s">
        <v>43</v>
      </c>
      <c r="AD28" s="41" t="str">
        <f t="shared" si="12"/>
        <v>WO</v>
      </c>
      <c r="AE28" s="41" t="s">
        <v>43</v>
      </c>
      <c r="AF28" s="41" t="s">
        <v>43</v>
      </c>
      <c r="AG28" s="41" t="s">
        <v>43</v>
      </c>
      <c r="AH28" s="41" t="s">
        <v>43</v>
      </c>
      <c r="AI28" s="41" t="s">
        <v>43</v>
      </c>
      <c r="AJ28" s="41" t="s">
        <v>43</v>
      </c>
      <c r="AK28" s="41" t="str">
        <f t="shared" si="12"/>
        <v>WO</v>
      </c>
      <c r="AL28" s="41" t="s">
        <v>43</v>
      </c>
      <c r="AM28" s="41" t="s">
        <v>43</v>
      </c>
      <c r="AN28" s="41" t="s">
        <v>43</v>
      </c>
      <c r="AO28" s="42"/>
      <c r="AP28" s="31"/>
      <c r="AQ28" s="36"/>
      <c r="AR28" s="19">
        <v>20</v>
      </c>
      <c r="AS28" s="19">
        <v>1020</v>
      </c>
      <c r="AT28" s="19" t="str">
        <f t="shared" si="3"/>
        <v>April</v>
      </c>
      <c r="AU28" s="19" t="s">
        <v>22</v>
      </c>
      <c r="AV28" s="27">
        <f t="shared" si="4"/>
        <v>23</v>
      </c>
      <c r="AW28" s="22">
        <f t="shared" si="5"/>
        <v>1</v>
      </c>
      <c r="AX28" s="22">
        <f t="shared" si="6"/>
        <v>2</v>
      </c>
      <c r="AY28" s="22">
        <f t="shared" si="7"/>
        <v>4</v>
      </c>
      <c r="AZ28" s="22">
        <f t="shared" si="8"/>
        <v>30</v>
      </c>
      <c r="BA28" s="22">
        <f>Apr_Month[[#This Row],[Days]]-Apr_Month[[#This Row],[Absent]]</f>
        <v>29</v>
      </c>
      <c r="BB28" s="23">
        <v>30000</v>
      </c>
      <c r="BC28" s="23">
        <f>Apr_Month[[#This Row],[Salary]]/Apr_Month[[#This Row],[Days]]</f>
        <v>1000</v>
      </c>
      <c r="BD28" s="24">
        <f>Apr_Month[[#This Row],[PerDay Salary]]*Apr_Month[[#This Row],[Absent]]</f>
        <v>1000</v>
      </c>
      <c r="BE28" s="23">
        <f>Apr_Month[[#This Row],[Salary]]-Apr_Month[[#This Row],[Deduction]]</f>
        <v>29000</v>
      </c>
      <c r="BF28" s="22"/>
      <c r="BG28" s="36"/>
    </row>
    <row r="29" spans="1:59" ht="15.75" thickTop="1" x14ac:dyDescent="0.25">
      <c r="A29"/>
      <c r="B29"/>
      <c r="C29"/>
      <c r="D29" s="29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x14ac:dyDescent="0.25">
      <c r="D30" s="29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</row>
    <row r="31" spans="1:59" x14ac:dyDescent="0.25">
      <c r="D31" s="29"/>
    </row>
    <row r="32" spans="1:59" x14ac:dyDescent="0.25">
      <c r="D32" s="29"/>
    </row>
    <row r="33" spans="4:4" x14ac:dyDescent="0.25">
      <c r="D33" s="29"/>
    </row>
    <row r="34" spans="4:4" x14ac:dyDescent="0.25">
      <c r="D34" s="29"/>
    </row>
    <row r="35" spans="4:4" x14ac:dyDescent="0.25">
      <c r="D35" s="29"/>
    </row>
    <row r="36" spans="4:4" x14ac:dyDescent="0.25">
      <c r="D36" s="29"/>
    </row>
    <row r="37" spans="4:4" x14ac:dyDescent="0.25">
      <c r="D37" s="29"/>
    </row>
    <row r="38" spans="4:4" x14ac:dyDescent="0.25">
      <c r="D38" s="29"/>
    </row>
    <row r="39" spans="4:4" x14ac:dyDescent="0.25">
      <c r="D39" s="29"/>
    </row>
    <row r="40" spans="4:4" x14ac:dyDescent="0.25">
      <c r="D40" s="29"/>
    </row>
    <row r="41" spans="4:4" x14ac:dyDescent="0.25">
      <c r="D41" s="29"/>
    </row>
    <row r="42" spans="4:4" x14ac:dyDescent="0.25">
      <c r="D42" s="29"/>
    </row>
    <row r="43" spans="4:4" x14ac:dyDescent="0.25">
      <c r="D43" s="29"/>
    </row>
    <row r="44" spans="4:4" x14ac:dyDescent="0.25">
      <c r="D44" s="29"/>
    </row>
    <row r="45" spans="4:4" x14ac:dyDescent="0.25">
      <c r="D45" s="29"/>
    </row>
    <row r="46" spans="4:4" x14ac:dyDescent="0.25">
      <c r="D46" s="29"/>
    </row>
    <row r="47" spans="4:4" x14ac:dyDescent="0.25">
      <c r="D47" s="29"/>
    </row>
    <row r="48" spans="4:4" x14ac:dyDescent="0.25">
      <c r="D48" s="29"/>
    </row>
  </sheetData>
  <mergeCells count="1">
    <mergeCell ref="G7:I7"/>
  </mergeCells>
  <conditionalFormatting sqref="K9:AO28">
    <cfRule type="containsText" dxfId="215" priority="1" operator="containsText" text="L">
      <formula>NOT(ISERROR(SEARCH("L",K9)))</formula>
    </cfRule>
    <cfRule type="containsText" dxfId="214" priority="2" operator="containsText" text="A">
      <formula>NOT(ISERROR(SEARCH("A",K9)))</formula>
    </cfRule>
    <cfRule type="containsText" dxfId="213" priority="3" operator="containsText" text="P">
      <formula>NOT(ISERROR(SEARCH("P",K9)))</formula>
    </cfRule>
    <cfRule type="containsText" dxfId="212" priority="4" operator="containsText" text="WO">
      <formula>NOT(ISERROR(SEARCH("WO",K9)))</formula>
    </cfRule>
    <cfRule type="containsText" dxfId="211" priority="5" operator="containsText" text="WO">
      <formula>NOT(ISERROR(SEARCH("WO",K9)))</formula>
    </cfRule>
  </conditionalFormatting>
  <dataValidations count="1">
    <dataValidation type="list" allowBlank="1" showInputMessage="1" showErrorMessage="1" sqref="K9:O28 AE9:AJ28 AL9:AN28 Q9:V28 X9:AC28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Apr!AV9:AY9</xm:f>
              <xm:sqref>BF9</xm:sqref>
            </x14:sparkline>
            <x14:sparkline>
              <xm:f>Apr!AV10:AY10</xm:f>
              <xm:sqref>BF10</xm:sqref>
            </x14:sparkline>
            <x14:sparkline>
              <xm:f>Apr!AV11:AY11</xm:f>
              <xm:sqref>BF11</xm:sqref>
            </x14:sparkline>
            <x14:sparkline>
              <xm:f>Apr!AV12:AY12</xm:f>
              <xm:sqref>BF12</xm:sqref>
            </x14:sparkline>
            <x14:sparkline>
              <xm:f>Apr!AV13:AY13</xm:f>
              <xm:sqref>BF13</xm:sqref>
            </x14:sparkline>
            <x14:sparkline>
              <xm:f>Apr!AV14:AY14</xm:f>
              <xm:sqref>BF14</xm:sqref>
            </x14:sparkline>
            <x14:sparkline>
              <xm:f>Apr!AV15:AY15</xm:f>
              <xm:sqref>BF15</xm:sqref>
            </x14:sparkline>
            <x14:sparkline>
              <xm:f>Apr!AV16:AY16</xm:f>
              <xm:sqref>BF16</xm:sqref>
            </x14:sparkline>
            <x14:sparkline>
              <xm:f>Apr!AV17:AY17</xm:f>
              <xm:sqref>BF17</xm:sqref>
            </x14:sparkline>
            <x14:sparkline>
              <xm:f>Apr!AV18:AY18</xm:f>
              <xm:sqref>BF18</xm:sqref>
            </x14:sparkline>
            <x14:sparkline>
              <xm:f>Apr!AV19:AY19</xm:f>
              <xm:sqref>BF19</xm:sqref>
            </x14:sparkline>
            <x14:sparkline>
              <xm:f>Apr!AV20:AY20</xm:f>
              <xm:sqref>BF20</xm:sqref>
            </x14:sparkline>
            <x14:sparkline>
              <xm:f>Apr!AV21:AY21</xm:f>
              <xm:sqref>BF21</xm:sqref>
            </x14:sparkline>
            <x14:sparkline>
              <xm:f>Apr!AV22:AY22</xm:f>
              <xm:sqref>BF22</xm:sqref>
            </x14:sparkline>
            <x14:sparkline>
              <xm:f>Apr!AV23:AY23</xm:f>
              <xm:sqref>BF23</xm:sqref>
            </x14:sparkline>
            <x14:sparkline>
              <xm:f>Apr!AV24:AY24</xm:f>
              <xm:sqref>BF24</xm:sqref>
            </x14:sparkline>
            <x14:sparkline>
              <xm:f>Apr!AV25:AY25</xm:f>
              <xm:sqref>BF25</xm:sqref>
            </x14:sparkline>
            <x14:sparkline>
              <xm:f>Apr!AV26:AY26</xm:f>
              <xm:sqref>BF26</xm:sqref>
            </x14:sparkline>
            <x14:sparkline>
              <xm:f>Apr!AV27:AY27</xm:f>
              <xm:sqref>BF27</xm:sqref>
            </x14:sparkline>
            <x14:sparkline>
              <xm:f>Apr!AV28:AY28</xm:f>
              <xm:sqref>BF28</xm:sqref>
            </x14:sparkline>
          </x14:sparklines>
        </x14:sparklineGroup>
      </x14:sparklineGroup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zoomScale="70" zoomScaleNormal="70" workbookViewId="0">
      <selection activeCell="G4" sqref="G4"/>
    </sheetView>
  </sheetViews>
  <sheetFormatPr defaultRowHeight="15" x14ac:dyDescent="0.25"/>
  <cols>
    <col min="1" max="3" width="9.140625" style="29"/>
    <col min="5" max="6" width="9.140625" style="29"/>
    <col min="7" max="7" width="6.85546875" style="29" customWidth="1"/>
    <col min="8" max="8" width="15.28515625" style="29" bestFit="1" customWidth="1"/>
    <col min="9" max="9" width="22.42578125" style="29" bestFit="1" customWidth="1"/>
    <col min="10" max="10" width="10" style="29" bestFit="1" customWidth="1"/>
    <col min="11" max="11" width="5.7109375" style="29" customWidth="1"/>
    <col min="12" max="12" width="4.85546875" style="29" customWidth="1"/>
    <col min="13" max="13" width="4.5703125" style="29" bestFit="1" customWidth="1"/>
    <col min="14" max="14" width="4.28515625" style="29" customWidth="1"/>
    <col min="15" max="15" width="4.85546875" style="29" customWidth="1"/>
    <col min="16" max="16" width="5.5703125" style="29" customWidth="1"/>
    <col min="17" max="17" width="4.85546875" style="29" customWidth="1"/>
    <col min="18" max="18" width="5.7109375" style="29" customWidth="1"/>
    <col min="19" max="19" width="4.85546875" style="29" customWidth="1"/>
    <col min="20" max="20" width="3.7109375" style="29" customWidth="1"/>
    <col min="21" max="21" width="4.28515625" style="29" customWidth="1"/>
    <col min="22" max="22" width="4.85546875" style="29" customWidth="1"/>
    <col min="23" max="23" width="5.5703125" style="29" customWidth="1"/>
    <col min="24" max="24" width="4.85546875" style="29" customWidth="1"/>
    <col min="25" max="25" width="5.7109375" style="29" customWidth="1"/>
    <col min="26" max="26" width="4.85546875" style="29" customWidth="1"/>
    <col min="27" max="27" width="3.7109375" style="29" customWidth="1"/>
    <col min="28" max="28" width="4.28515625" style="29" customWidth="1"/>
    <col min="29" max="29" width="4.85546875" style="29" customWidth="1"/>
    <col min="30" max="30" width="5.5703125" style="29" customWidth="1"/>
    <col min="31" max="31" width="4.85546875" style="29" customWidth="1"/>
    <col min="32" max="32" width="5.7109375" style="29" customWidth="1"/>
    <col min="33" max="33" width="4.85546875" style="29" customWidth="1"/>
    <col min="34" max="34" width="4.5703125" style="29" bestFit="1" customWidth="1"/>
    <col min="35" max="35" width="4.28515625" style="29" customWidth="1"/>
    <col min="36" max="36" width="4.85546875" style="29" customWidth="1"/>
    <col min="37" max="37" width="5.5703125" style="29" customWidth="1"/>
    <col min="38" max="38" width="4.85546875" style="29" customWidth="1"/>
    <col min="39" max="39" width="5.7109375" style="29" customWidth="1"/>
    <col min="40" max="40" width="4.85546875" style="29" customWidth="1"/>
    <col min="41" max="41" width="3.7109375" style="29" customWidth="1"/>
    <col min="42" max="43" width="9.140625" style="29"/>
    <col min="44" max="44" width="7.28515625" style="29" customWidth="1"/>
    <col min="45" max="46" width="14.140625" style="29" customWidth="1"/>
    <col min="47" max="47" width="17.85546875" style="29" customWidth="1"/>
    <col min="48" max="48" width="9.85546875" style="29" customWidth="1"/>
    <col min="49" max="49" width="9.28515625" style="29" customWidth="1"/>
    <col min="50" max="50" width="9.140625" style="29"/>
    <col min="51" max="51" width="11.85546875" style="29" customWidth="1"/>
    <col min="52" max="52" width="9.140625" style="29"/>
    <col min="53" max="53" width="12" style="29" customWidth="1"/>
    <col min="54" max="54" width="12.42578125" style="29" bestFit="1" customWidth="1"/>
    <col min="55" max="55" width="15.7109375" style="29" customWidth="1"/>
    <col min="56" max="56" width="12.140625" style="29" customWidth="1"/>
    <col min="57" max="57" width="13.7109375" style="29" customWidth="1"/>
    <col min="58" max="58" width="15.5703125" style="29" bestFit="1" customWidth="1"/>
    <col min="59" max="16384" width="9.140625" style="29"/>
  </cols>
  <sheetData>
    <row r="1" spans="1:59" x14ac:dyDescent="0.25">
      <c r="A1"/>
      <c r="B1"/>
      <c r="C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25">
      <c r="A2"/>
      <c r="B2"/>
      <c r="C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25">
      <c r="A3"/>
      <c r="B3"/>
      <c r="C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25">
      <c r="A4"/>
      <c r="B4"/>
      <c r="C4"/>
      <c r="D4" s="29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/>
      <c r="B5"/>
      <c r="C5"/>
      <c r="D5" s="29"/>
      <c r="F5" s="43"/>
      <c r="G5" s="43" t="s">
        <v>27</v>
      </c>
      <c r="H5" s="44">
        <v>45778</v>
      </c>
      <c r="I5" s="43">
        <f>(DATEDIF($H$5,$L$5,"D"))+1</f>
        <v>31</v>
      </c>
      <c r="J5" s="43" t="str">
        <f>TEXT(H5,"MMMM")</f>
        <v>May</v>
      </c>
      <c r="K5" s="43" t="s">
        <v>28</v>
      </c>
      <c r="L5" s="44">
        <f>EOMONTH(H5,0)</f>
        <v>45808</v>
      </c>
      <c r="M5" s="43"/>
      <c r="BD5" s="30"/>
    </row>
    <row r="6" spans="1:59" ht="15.75" thickBot="1" x14ac:dyDescent="0.3">
      <c r="A6"/>
      <c r="B6"/>
      <c r="C6"/>
      <c r="D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16.5" thickTop="1" x14ac:dyDescent="0.25">
      <c r="A7"/>
      <c r="B7"/>
      <c r="C7"/>
      <c r="D7" s="29"/>
      <c r="F7" s="31"/>
      <c r="G7" s="56" t="s">
        <v>30</v>
      </c>
      <c r="H7" s="57"/>
      <c r="I7" s="58"/>
      <c r="J7" s="15" t="s">
        <v>29</v>
      </c>
      <c r="K7" s="16" t="str">
        <f>TEXT(K8,"DDD")</f>
        <v>Thu</v>
      </c>
      <c r="L7" s="16" t="str">
        <f t="shared" ref="L7:AO7" si="0">TEXT(L8,"DDD")</f>
        <v>Fri</v>
      </c>
      <c r="M7" s="16" t="str">
        <f t="shared" si="0"/>
        <v>Sat</v>
      </c>
      <c r="N7" s="16" t="str">
        <f t="shared" si="0"/>
        <v>Sun</v>
      </c>
      <c r="O7" s="16" t="str">
        <f t="shared" si="0"/>
        <v>Mon</v>
      </c>
      <c r="P7" s="16" t="str">
        <f t="shared" si="0"/>
        <v>Tue</v>
      </c>
      <c r="Q7" s="16" t="str">
        <f t="shared" si="0"/>
        <v>Wed</v>
      </c>
      <c r="R7" s="16" t="str">
        <f t="shared" si="0"/>
        <v>Thu</v>
      </c>
      <c r="S7" s="16" t="str">
        <f t="shared" si="0"/>
        <v>Fri</v>
      </c>
      <c r="T7" s="16" t="str">
        <f t="shared" si="0"/>
        <v>Sat</v>
      </c>
      <c r="U7" s="16" t="str">
        <f t="shared" si="0"/>
        <v>Sun</v>
      </c>
      <c r="V7" s="16" t="str">
        <f t="shared" si="0"/>
        <v>Mon</v>
      </c>
      <c r="W7" s="16" t="str">
        <f t="shared" si="0"/>
        <v>Tue</v>
      </c>
      <c r="X7" s="16" t="str">
        <f t="shared" si="0"/>
        <v>Wed</v>
      </c>
      <c r="Y7" s="16" t="str">
        <f t="shared" si="0"/>
        <v>Thu</v>
      </c>
      <c r="Z7" s="16" t="str">
        <f t="shared" si="0"/>
        <v>Fri</v>
      </c>
      <c r="AA7" s="16" t="str">
        <f t="shared" si="0"/>
        <v>Sat</v>
      </c>
      <c r="AB7" s="16" t="str">
        <f t="shared" si="0"/>
        <v>Sun</v>
      </c>
      <c r="AC7" s="16" t="str">
        <f t="shared" si="0"/>
        <v>Mon</v>
      </c>
      <c r="AD7" s="16" t="str">
        <f t="shared" si="0"/>
        <v>Tue</v>
      </c>
      <c r="AE7" s="16" t="str">
        <f t="shared" si="0"/>
        <v>Wed</v>
      </c>
      <c r="AF7" s="16" t="str">
        <f t="shared" si="0"/>
        <v>Thu</v>
      </c>
      <c r="AG7" s="16" t="str">
        <f t="shared" si="0"/>
        <v>Fri</v>
      </c>
      <c r="AH7" s="16" t="str">
        <f t="shared" si="0"/>
        <v>Sat</v>
      </c>
      <c r="AI7" s="16" t="str">
        <f t="shared" si="0"/>
        <v>Sun</v>
      </c>
      <c r="AJ7" s="16" t="str">
        <f t="shared" si="0"/>
        <v>Mon</v>
      </c>
      <c r="AK7" s="16" t="str">
        <f t="shared" si="0"/>
        <v>Tue</v>
      </c>
      <c r="AL7" s="16" t="str">
        <f t="shared" si="0"/>
        <v>Wed</v>
      </c>
      <c r="AM7" s="16" t="str">
        <f t="shared" si="0"/>
        <v>Thu</v>
      </c>
      <c r="AN7" s="16" t="str">
        <f t="shared" si="0"/>
        <v>Fri</v>
      </c>
      <c r="AO7" s="17" t="str">
        <f t="shared" si="0"/>
        <v>Sat</v>
      </c>
      <c r="AP7" s="31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/>
      <c r="B8"/>
      <c r="C8"/>
      <c r="D8" s="29"/>
      <c r="F8" s="31"/>
      <c r="G8" s="9" t="s">
        <v>23</v>
      </c>
      <c r="H8" s="10" t="s">
        <v>24</v>
      </c>
      <c r="I8" s="11" t="s">
        <v>25</v>
      </c>
      <c r="J8" s="12" t="s">
        <v>26</v>
      </c>
      <c r="K8" s="13">
        <f>H5</f>
        <v>45778</v>
      </c>
      <c r="L8" s="13">
        <f>IF(K8&lt;$L$5,K8+1,"")</f>
        <v>45779</v>
      </c>
      <c r="M8" s="13">
        <f t="shared" ref="M8:AO8" si="1">IF(L8&lt;$L$5,L8+1,"")</f>
        <v>45780</v>
      </c>
      <c r="N8" s="13">
        <f t="shared" si="1"/>
        <v>45781</v>
      </c>
      <c r="O8" s="13">
        <f t="shared" si="1"/>
        <v>45782</v>
      </c>
      <c r="P8" s="13">
        <f t="shared" si="1"/>
        <v>45783</v>
      </c>
      <c r="Q8" s="13">
        <f t="shared" si="1"/>
        <v>45784</v>
      </c>
      <c r="R8" s="13">
        <f t="shared" si="1"/>
        <v>45785</v>
      </c>
      <c r="S8" s="13">
        <f t="shared" si="1"/>
        <v>45786</v>
      </c>
      <c r="T8" s="13">
        <f t="shared" si="1"/>
        <v>45787</v>
      </c>
      <c r="U8" s="13">
        <f t="shared" si="1"/>
        <v>45788</v>
      </c>
      <c r="V8" s="13">
        <f t="shared" si="1"/>
        <v>45789</v>
      </c>
      <c r="W8" s="13">
        <f t="shared" si="1"/>
        <v>45790</v>
      </c>
      <c r="X8" s="13">
        <f t="shared" si="1"/>
        <v>45791</v>
      </c>
      <c r="Y8" s="13">
        <f t="shared" si="1"/>
        <v>45792</v>
      </c>
      <c r="Z8" s="13">
        <f t="shared" si="1"/>
        <v>45793</v>
      </c>
      <c r="AA8" s="13">
        <f t="shared" si="1"/>
        <v>45794</v>
      </c>
      <c r="AB8" s="13">
        <f t="shared" si="1"/>
        <v>45795</v>
      </c>
      <c r="AC8" s="13">
        <f t="shared" si="1"/>
        <v>45796</v>
      </c>
      <c r="AD8" s="13">
        <f t="shared" si="1"/>
        <v>45797</v>
      </c>
      <c r="AE8" s="13">
        <f t="shared" si="1"/>
        <v>45798</v>
      </c>
      <c r="AF8" s="13">
        <f t="shared" si="1"/>
        <v>45799</v>
      </c>
      <c r="AG8" s="13">
        <f t="shared" si="1"/>
        <v>45800</v>
      </c>
      <c r="AH8" s="13">
        <f t="shared" si="1"/>
        <v>45801</v>
      </c>
      <c r="AI8" s="13">
        <f t="shared" si="1"/>
        <v>45802</v>
      </c>
      <c r="AJ8" s="13">
        <f t="shared" si="1"/>
        <v>45803</v>
      </c>
      <c r="AK8" s="13">
        <f t="shared" si="1"/>
        <v>45804</v>
      </c>
      <c r="AL8" s="13">
        <f t="shared" si="1"/>
        <v>45805</v>
      </c>
      <c r="AM8" s="13">
        <f t="shared" si="1"/>
        <v>45806</v>
      </c>
      <c r="AN8" s="13">
        <f t="shared" si="1"/>
        <v>45807</v>
      </c>
      <c r="AO8" s="14">
        <f t="shared" si="1"/>
        <v>45808</v>
      </c>
      <c r="AP8" s="32"/>
      <c r="AQ8" s="35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36"/>
    </row>
    <row r="9" spans="1:59" ht="16.5" thickTop="1" x14ac:dyDescent="0.25">
      <c r="A9"/>
      <c r="B9"/>
      <c r="C9"/>
      <c r="D9" s="29"/>
      <c r="F9" s="31"/>
      <c r="G9" s="3">
        <v>1</v>
      </c>
      <c r="H9" s="4">
        <v>1001</v>
      </c>
      <c r="I9" s="5" t="s">
        <v>3</v>
      </c>
      <c r="J9" s="37">
        <f>COUNTIF($K$7:$AO$7,"Sun")</f>
        <v>4</v>
      </c>
      <c r="K9" s="38" t="s">
        <v>43</v>
      </c>
      <c r="L9" s="38" t="s">
        <v>43</v>
      </c>
      <c r="M9" s="38" t="s">
        <v>44</v>
      </c>
      <c r="N9" s="38" t="str">
        <f t="shared" ref="N9:AI17" si="2">IF(N$7="Sun","WO","")</f>
        <v>WO</v>
      </c>
      <c r="O9" s="38" t="s">
        <v>43</v>
      </c>
      <c r="P9" s="38" t="s">
        <v>43</v>
      </c>
      <c r="Q9" s="38" t="s">
        <v>43</v>
      </c>
      <c r="R9" s="38" t="s">
        <v>43</v>
      </c>
      <c r="S9" s="38" t="s">
        <v>43</v>
      </c>
      <c r="T9" s="38" t="s">
        <v>42</v>
      </c>
      <c r="U9" s="38" t="str">
        <f t="shared" si="2"/>
        <v>WO</v>
      </c>
      <c r="V9" s="38" t="s">
        <v>43</v>
      </c>
      <c r="W9" s="38" t="s">
        <v>43</v>
      </c>
      <c r="X9" s="38" t="s">
        <v>43</v>
      </c>
      <c r="Y9" s="38" t="s">
        <v>43</v>
      </c>
      <c r="Z9" s="38" t="s">
        <v>43</v>
      </c>
      <c r="AA9" s="38" t="s">
        <v>43</v>
      </c>
      <c r="AB9" s="38" t="str">
        <f t="shared" si="2"/>
        <v>WO</v>
      </c>
      <c r="AC9" s="38" t="s">
        <v>42</v>
      </c>
      <c r="AD9" s="38" t="s">
        <v>43</v>
      </c>
      <c r="AE9" s="38" t="s">
        <v>43</v>
      </c>
      <c r="AF9" s="38" t="s">
        <v>43</v>
      </c>
      <c r="AG9" s="38" t="s">
        <v>43</v>
      </c>
      <c r="AH9" s="38" t="s">
        <v>43</v>
      </c>
      <c r="AI9" s="38" t="str">
        <f t="shared" si="2"/>
        <v>WO</v>
      </c>
      <c r="AJ9" s="38" t="s">
        <v>43</v>
      </c>
      <c r="AK9" s="38" t="s">
        <v>43</v>
      </c>
      <c r="AL9" s="38" t="s">
        <v>43</v>
      </c>
      <c r="AM9" s="38" t="s">
        <v>43</v>
      </c>
      <c r="AN9" s="38" t="s">
        <v>43</v>
      </c>
      <c r="AO9" s="39" t="s">
        <v>43</v>
      </c>
      <c r="AP9" s="31"/>
      <c r="AQ9" s="36"/>
      <c r="AR9" s="19">
        <v>1</v>
      </c>
      <c r="AS9" s="19">
        <v>1001</v>
      </c>
      <c r="AT9" s="19" t="str">
        <f t="shared" ref="AT9:AT28" si="3">$J$5</f>
        <v>May</v>
      </c>
      <c r="AU9" s="19" t="s">
        <v>3</v>
      </c>
      <c r="AV9" s="26">
        <f t="shared" ref="AV9:AV28" si="4">COUNTIF($K9:$AO9,"*P*")</f>
        <v>24</v>
      </c>
      <c r="AW9" s="20">
        <f t="shared" ref="AW9:AW28" si="5">COUNTIF($K9:$AO9,"*A*")</f>
        <v>1</v>
      </c>
      <c r="AX9" s="20">
        <f t="shared" ref="AX9:AX28" si="6">COUNTIF($K9:$AO9,"L")</f>
        <v>2</v>
      </c>
      <c r="AY9" s="20">
        <f t="shared" ref="AY9:AY28" si="7">$J$9</f>
        <v>4</v>
      </c>
      <c r="AZ9" s="20">
        <f t="shared" ref="AZ9:AZ28" si="8">$I$5</f>
        <v>31</v>
      </c>
      <c r="BA9" s="20">
        <f>May_Month[[#This Row],[Days]]-May_Month[[#This Row],[Absent]]</f>
        <v>30</v>
      </c>
      <c r="BB9" s="21">
        <v>10000</v>
      </c>
      <c r="BC9" s="21">
        <f>May_Month[[#This Row],[Salary]]/May_Month[[#This Row],[Days]]</f>
        <v>322.58064516129031</v>
      </c>
      <c r="BD9" s="24">
        <f>May_Month[[#This Row],[PerDay Salary]]*May_Month[[#This Row],[Absent]]</f>
        <v>322.58064516129031</v>
      </c>
      <c r="BE9" s="23">
        <f>May_Month[[#This Row],[Salary]]-May_Month[[#This Row],[Deduction]]</f>
        <v>9677.4193548387102</v>
      </c>
      <c r="BF9" s="22"/>
      <c r="BG9" s="36"/>
    </row>
    <row r="10" spans="1:59" ht="15.75" x14ac:dyDescent="0.25">
      <c r="A10"/>
      <c r="B10"/>
      <c r="C10"/>
      <c r="D10" s="29"/>
      <c r="F10" s="31"/>
      <c r="G10" s="3">
        <v>2</v>
      </c>
      <c r="H10" s="4">
        <v>1002</v>
      </c>
      <c r="I10" s="5" t="s">
        <v>4</v>
      </c>
      <c r="J10" s="37">
        <f t="shared" ref="J10:J28" si="9">COUNTIF($K$7:$AO$7,"Sun")</f>
        <v>4</v>
      </c>
      <c r="K10" s="38" t="s">
        <v>43</v>
      </c>
      <c r="L10" s="38" t="s">
        <v>44</v>
      </c>
      <c r="M10" s="38" t="s">
        <v>43</v>
      </c>
      <c r="N10" s="38" t="str">
        <f t="shared" si="2"/>
        <v>WO</v>
      </c>
      <c r="O10" s="38" t="s">
        <v>43</v>
      </c>
      <c r="P10" s="38" t="s">
        <v>43</v>
      </c>
      <c r="Q10" s="38" t="s">
        <v>43</v>
      </c>
      <c r="R10" s="38" t="s">
        <v>43</v>
      </c>
      <c r="S10" s="38" t="s">
        <v>43</v>
      </c>
      <c r="T10" s="38" t="s">
        <v>42</v>
      </c>
      <c r="U10" s="38" t="str">
        <f t="shared" si="2"/>
        <v>WO</v>
      </c>
      <c r="V10" s="38" t="s">
        <v>43</v>
      </c>
      <c r="W10" s="38" t="s">
        <v>43</v>
      </c>
      <c r="X10" s="38" t="s">
        <v>43</v>
      </c>
      <c r="Y10" s="38" t="s">
        <v>43</v>
      </c>
      <c r="Z10" s="38" t="s">
        <v>43</v>
      </c>
      <c r="AA10" s="38" t="s">
        <v>43</v>
      </c>
      <c r="AB10" s="38" t="str">
        <f t="shared" si="2"/>
        <v>WO</v>
      </c>
      <c r="AC10" s="38" t="s">
        <v>42</v>
      </c>
      <c r="AD10" s="38" t="s">
        <v>43</v>
      </c>
      <c r="AE10" s="38" t="s">
        <v>43</v>
      </c>
      <c r="AF10" s="38" t="s">
        <v>43</v>
      </c>
      <c r="AG10" s="38" t="s">
        <v>43</v>
      </c>
      <c r="AH10" s="38" t="s">
        <v>43</v>
      </c>
      <c r="AI10" s="38" t="str">
        <f t="shared" si="2"/>
        <v>WO</v>
      </c>
      <c r="AJ10" s="38" t="s">
        <v>43</v>
      </c>
      <c r="AK10" s="38" t="s">
        <v>43</v>
      </c>
      <c r="AL10" s="38" t="s">
        <v>43</v>
      </c>
      <c r="AM10" s="38" t="s">
        <v>43</v>
      </c>
      <c r="AN10" s="38" t="s">
        <v>43</v>
      </c>
      <c r="AO10" s="39" t="s">
        <v>43</v>
      </c>
      <c r="AP10" s="31"/>
      <c r="AQ10" s="36"/>
      <c r="AR10" s="19">
        <v>2</v>
      </c>
      <c r="AS10" s="19">
        <v>1002</v>
      </c>
      <c r="AT10" s="19" t="str">
        <f t="shared" si="3"/>
        <v>May</v>
      </c>
      <c r="AU10" s="19" t="s">
        <v>4</v>
      </c>
      <c r="AV10" s="27">
        <f t="shared" si="4"/>
        <v>24</v>
      </c>
      <c r="AW10" s="22">
        <f t="shared" si="5"/>
        <v>1</v>
      </c>
      <c r="AX10" s="22">
        <f t="shared" si="6"/>
        <v>2</v>
      </c>
      <c r="AY10" s="22">
        <f t="shared" si="7"/>
        <v>4</v>
      </c>
      <c r="AZ10" s="22">
        <f t="shared" si="8"/>
        <v>31</v>
      </c>
      <c r="BA10" s="22">
        <f>May_Month[[#This Row],[Days]]-May_Month[[#This Row],[Absent]]</f>
        <v>30</v>
      </c>
      <c r="BB10" s="23">
        <v>20000</v>
      </c>
      <c r="BC10" s="23">
        <f>May_Month[[#This Row],[Salary]]/May_Month[[#This Row],[Days]]</f>
        <v>645.16129032258061</v>
      </c>
      <c r="BD10" s="24">
        <f>May_Month[[#This Row],[PerDay Salary]]*May_Month[[#This Row],[Absent]]</f>
        <v>645.16129032258061</v>
      </c>
      <c r="BE10" s="23">
        <f>May_Month[[#This Row],[Salary]]-May_Month[[#This Row],[Deduction]]</f>
        <v>19354.83870967742</v>
      </c>
      <c r="BF10" s="22"/>
      <c r="BG10" s="36"/>
    </row>
    <row r="11" spans="1:59" ht="15.75" x14ac:dyDescent="0.25">
      <c r="A11"/>
      <c r="B11"/>
      <c r="C11"/>
      <c r="D11" s="29"/>
      <c r="F11" s="31"/>
      <c r="G11" s="3">
        <v>3</v>
      </c>
      <c r="H11" s="4">
        <v>1003</v>
      </c>
      <c r="I11" s="5" t="s">
        <v>5</v>
      </c>
      <c r="J11" s="37">
        <f t="shared" si="9"/>
        <v>4</v>
      </c>
      <c r="K11" s="38" t="s">
        <v>43</v>
      </c>
      <c r="L11" s="38" t="s">
        <v>43</v>
      </c>
      <c r="M11" s="38" t="s">
        <v>43</v>
      </c>
      <c r="N11" s="38" t="str">
        <f t="shared" si="2"/>
        <v>WO</v>
      </c>
      <c r="O11" s="38" t="s">
        <v>43</v>
      </c>
      <c r="P11" s="38" t="s">
        <v>43</v>
      </c>
      <c r="Q11" s="38" t="s">
        <v>43</v>
      </c>
      <c r="R11" s="38" t="s">
        <v>43</v>
      </c>
      <c r="S11" s="38" t="s">
        <v>43</v>
      </c>
      <c r="T11" s="38" t="s">
        <v>42</v>
      </c>
      <c r="U11" s="38" t="str">
        <f t="shared" si="2"/>
        <v>WO</v>
      </c>
      <c r="V11" s="38" t="s">
        <v>43</v>
      </c>
      <c r="W11" s="38" t="s">
        <v>44</v>
      </c>
      <c r="X11" s="38" t="s">
        <v>43</v>
      </c>
      <c r="Y11" s="38" t="s">
        <v>43</v>
      </c>
      <c r="Z11" s="38" t="s">
        <v>43</v>
      </c>
      <c r="AA11" s="38" t="s">
        <v>43</v>
      </c>
      <c r="AB11" s="38" t="str">
        <f t="shared" si="2"/>
        <v>WO</v>
      </c>
      <c r="AC11" s="38" t="s">
        <v>42</v>
      </c>
      <c r="AD11" s="38" t="s">
        <v>43</v>
      </c>
      <c r="AE11" s="38" t="s">
        <v>43</v>
      </c>
      <c r="AF11" s="38" t="s">
        <v>43</v>
      </c>
      <c r="AG11" s="38" t="s">
        <v>43</v>
      </c>
      <c r="AH11" s="38" t="s">
        <v>43</v>
      </c>
      <c r="AI11" s="38" t="str">
        <f t="shared" si="2"/>
        <v>WO</v>
      </c>
      <c r="AJ11" s="38" t="s">
        <v>43</v>
      </c>
      <c r="AK11" s="38" t="s">
        <v>43</v>
      </c>
      <c r="AL11" s="38" t="s">
        <v>43</v>
      </c>
      <c r="AM11" s="38" t="s">
        <v>43</v>
      </c>
      <c r="AN11" s="38" t="s">
        <v>43</v>
      </c>
      <c r="AO11" s="39" t="s">
        <v>43</v>
      </c>
      <c r="AP11" s="31"/>
      <c r="AQ11" s="36"/>
      <c r="AR11" s="19">
        <v>3</v>
      </c>
      <c r="AS11" s="19">
        <v>1003</v>
      </c>
      <c r="AT11" s="19" t="str">
        <f t="shared" si="3"/>
        <v>May</v>
      </c>
      <c r="AU11" s="19" t="s">
        <v>5</v>
      </c>
      <c r="AV11" s="27">
        <f t="shared" si="4"/>
        <v>24</v>
      </c>
      <c r="AW11" s="22">
        <f t="shared" si="5"/>
        <v>1</v>
      </c>
      <c r="AX11" s="22">
        <f t="shared" si="6"/>
        <v>2</v>
      </c>
      <c r="AY11" s="22">
        <f t="shared" si="7"/>
        <v>4</v>
      </c>
      <c r="AZ11" s="22">
        <f t="shared" si="8"/>
        <v>31</v>
      </c>
      <c r="BA11" s="22">
        <f>May_Month[[#This Row],[Days]]-May_Month[[#This Row],[Absent]]</f>
        <v>30</v>
      </c>
      <c r="BB11" s="23">
        <v>25000</v>
      </c>
      <c r="BC11" s="23">
        <f>May_Month[[#This Row],[Salary]]/May_Month[[#This Row],[Days]]</f>
        <v>806.45161290322585</v>
      </c>
      <c r="BD11" s="24">
        <f>May_Month[[#This Row],[PerDay Salary]]*May_Month[[#This Row],[Absent]]</f>
        <v>806.45161290322585</v>
      </c>
      <c r="BE11" s="23">
        <f>May_Month[[#This Row],[Salary]]-May_Month[[#This Row],[Deduction]]</f>
        <v>24193.548387096773</v>
      </c>
      <c r="BF11" s="22"/>
      <c r="BG11" s="36"/>
    </row>
    <row r="12" spans="1:59" ht="15.75" x14ac:dyDescent="0.25">
      <c r="A12"/>
      <c r="B12"/>
      <c r="C12"/>
      <c r="D12" s="29"/>
      <c r="F12" s="31"/>
      <c r="G12" s="3">
        <v>4</v>
      </c>
      <c r="H12" s="4">
        <v>1004</v>
      </c>
      <c r="I12" s="5" t="s">
        <v>6</v>
      </c>
      <c r="J12" s="37">
        <f t="shared" si="9"/>
        <v>4</v>
      </c>
      <c r="K12" s="38" t="s">
        <v>43</v>
      </c>
      <c r="L12" s="38" t="s">
        <v>43</v>
      </c>
      <c r="M12" s="38" t="s">
        <v>43</v>
      </c>
      <c r="N12" s="38" t="str">
        <f t="shared" si="2"/>
        <v>WO</v>
      </c>
      <c r="O12" s="38" t="s">
        <v>43</v>
      </c>
      <c r="P12" s="38" t="s">
        <v>43</v>
      </c>
      <c r="Q12" s="38" t="s">
        <v>43</v>
      </c>
      <c r="R12" s="38" t="s">
        <v>43</v>
      </c>
      <c r="S12" s="38" t="s">
        <v>43</v>
      </c>
      <c r="T12" s="38" t="s">
        <v>42</v>
      </c>
      <c r="U12" s="38" t="str">
        <f t="shared" si="2"/>
        <v>WO</v>
      </c>
      <c r="V12" s="38" t="s">
        <v>43</v>
      </c>
      <c r="W12" s="38" t="s">
        <v>44</v>
      </c>
      <c r="X12" s="38" t="s">
        <v>43</v>
      </c>
      <c r="Y12" s="38" t="s">
        <v>43</v>
      </c>
      <c r="Z12" s="38" t="s">
        <v>43</v>
      </c>
      <c r="AA12" s="38" t="s">
        <v>43</v>
      </c>
      <c r="AB12" s="38" t="str">
        <f t="shared" si="2"/>
        <v>WO</v>
      </c>
      <c r="AC12" s="38" t="s">
        <v>42</v>
      </c>
      <c r="AD12" s="38" t="s">
        <v>43</v>
      </c>
      <c r="AE12" s="38" t="s">
        <v>43</v>
      </c>
      <c r="AF12" s="38" t="s">
        <v>43</v>
      </c>
      <c r="AG12" s="38" t="s">
        <v>43</v>
      </c>
      <c r="AH12" s="38" t="s">
        <v>43</v>
      </c>
      <c r="AI12" s="38" t="str">
        <f t="shared" si="2"/>
        <v>WO</v>
      </c>
      <c r="AJ12" s="38" t="s">
        <v>43</v>
      </c>
      <c r="AK12" s="38" t="s">
        <v>43</v>
      </c>
      <c r="AL12" s="38" t="s">
        <v>43</v>
      </c>
      <c r="AM12" s="38" t="s">
        <v>43</v>
      </c>
      <c r="AN12" s="38" t="s">
        <v>43</v>
      </c>
      <c r="AO12" s="39" t="s">
        <v>43</v>
      </c>
      <c r="AP12" s="31"/>
      <c r="AQ12" s="36"/>
      <c r="AR12" s="19">
        <v>4</v>
      </c>
      <c r="AS12" s="19">
        <v>1004</v>
      </c>
      <c r="AT12" s="19" t="str">
        <f t="shared" si="3"/>
        <v>May</v>
      </c>
      <c r="AU12" s="19" t="s">
        <v>6</v>
      </c>
      <c r="AV12" s="27">
        <f t="shared" si="4"/>
        <v>24</v>
      </c>
      <c r="AW12" s="22">
        <f t="shared" si="5"/>
        <v>1</v>
      </c>
      <c r="AX12" s="22">
        <f t="shared" si="6"/>
        <v>2</v>
      </c>
      <c r="AY12" s="22">
        <f t="shared" si="7"/>
        <v>4</v>
      </c>
      <c r="AZ12" s="22">
        <f t="shared" si="8"/>
        <v>31</v>
      </c>
      <c r="BA12" s="22">
        <f>May_Month[[#This Row],[Days]]-May_Month[[#This Row],[Absent]]</f>
        <v>30</v>
      </c>
      <c r="BB12" s="23">
        <v>30000</v>
      </c>
      <c r="BC12" s="23">
        <f>May_Month[[#This Row],[Salary]]/May_Month[[#This Row],[Days]]</f>
        <v>967.74193548387098</v>
      </c>
      <c r="BD12" s="24">
        <f>May_Month[[#This Row],[PerDay Salary]]*May_Month[[#This Row],[Absent]]</f>
        <v>967.74193548387098</v>
      </c>
      <c r="BE12" s="23">
        <f>May_Month[[#This Row],[Salary]]-May_Month[[#This Row],[Deduction]]</f>
        <v>29032.258064516129</v>
      </c>
      <c r="BF12" s="22"/>
      <c r="BG12" s="36"/>
    </row>
    <row r="13" spans="1:59" ht="15.75" x14ac:dyDescent="0.25">
      <c r="A13"/>
      <c r="B13"/>
      <c r="C13"/>
      <c r="D13" s="29"/>
      <c r="F13" s="31"/>
      <c r="G13" s="3">
        <v>5</v>
      </c>
      <c r="H13" s="4">
        <v>1005</v>
      </c>
      <c r="I13" s="5" t="s">
        <v>7</v>
      </c>
      <c r="J13" s="37">
        <f t="shared" si="9"/>
        <v>4</v>
      </c>
      <c r="K13" s="38" t="s">
        <v>43</v>
      </c>
      <c r="L13" s="38" t="s">
        <v>43</v>
      </c>
      <c r="M13" s="38" t="s">
        <v>43</v>
      </c>
      <c r="N13" s="38" t="str">
        <f t="shared" si="2"/>
        <v>WO</v>
      </c>
      <c r="O13" s="38" t="s">
        <v>43</v>
      </c>
      <c r="P13" s="38" t="s">
        <v>44</v>
      </c>
      <c r="Q13" s="38" t="s">
        <v>43</v>
      </c>
      <c r="R13" s="38" t="s">
        <v>43</v>
      </c>
      <c r="S13" s="38" t="s">
        <v>43</v>
      </c>
      <c r="T13" s="38" t="s">
        <v>42</v>
      </c>
      <c r="U13" s="38" t="str">
        <f t="shared" si="2"/>
        <v>WO</v>
      </c>
      <c r="V13" s="38" t="s">
        <v>43</v>
      </c>
      <c r="W13" s="38" t="s">
        <v>43</v>
      </c>
      <c r="X13" s="38" t="s">
        <v>43</v>
      </c>
      <c r="Y13" s="38" t="s">
        <v>43</v>
      </c>
      <c r="Z13" s="38" t="s">
        <v>43</v>
      </c>
      <c r="AA13" s="38" t="s">
        <v>43</v>
      </c>
      <c r="AB13" s="38" t="str">
        <f t="shared" si="2"/>
        <v>WO</v>
      </c>
      <c r="AC13" s="38" t="s">
        <v>42</v>
      </c>
      <c r="AD13" s="38" t="s">
        <v>43</v>
      </c>
      <c r="AE13" s="38" t="s">
        <v>43</v>
      </c>
      <c r="AF13" s="38" t="s">
        <v>43</v>
      </c>
      <c r="AG13" s="38" t="s">
        <v>43</v>
      </c>
      <c r="AH13" s="38" t="s">
        <v>43</v>
      </c>
      <c r="AI13" s="38" t="str">
        <f t="shared" si="2"/>
        <v>WO</v>
      </c>
      <c r="AJ13" s="38" t="s">
        <v>43</v>
      </c>
      <c r="AK13" s="38" t="s">
        <v>43</v>
      </c>
      <c r="AL13" s="38" t="s">
        <v>43</v>
      </c>
      <c r="AM13" s="38" t="s">
        <v>43</v>
      </c>
      <c r="AN13" s="38" t="s">
        <v>43</v>
      </c>
      <c r="AO13" s="39" t="s">
        <v>43</v>
      </c>
      <c r="AP13" s="31"/>
      <c r="AQ13" s="36"/>
      <c r="AR13" s="19">
        <v>5</v>
      </c>
      <c r="AS13" s="19">
        <v>1005</v>
      </c>
      <c r="AT13" s="19" t="str">
        <f t="shared" si="3"/>
        <v>May</v>
      </c>
      <c r="AU13" s="19" t="s">
        <v>7</v>
      </c>
      <c r="AV13" s="27">
        <f t="shared" si="4"/>
        <v>24</v>
      </c>
      <c r="AW13" s="22">
        <f t="shared" si="5"/>
        <v>1</v>
      </c>
      <c r="AX13" s="22">
        <f t="shared" si="6"/>
        <v>2</v>
      </c>
      <c r="AY13" s="22">
        <f t="shared" si="7"/>
        <v>4</v>
      </c>
      <c r="AZ13" s="22">
        <f t="shared" si="8"/>
        <v>31</v>
      </c>
      <c r="BA13" s="22">
        <f>May_Month[[#This Row],[Days]]-May_Month[[#This Row],[Absent]]</f>
        <v>30</v>
      </c>
      <c r="BB13" s="23">
        <v>45000</v>
      </c>
      <c r="BC13" s="23">
        <f>May_Month[[#This Row],[Salary]]/May_Month[[#This Row],[Days]]</f>
        <v>1451.6129032258063</v>
      </c>
      <c r="BD13" s="24">
        <f>May_Month[[#This Row],[PerDay Salary]]*May_Month[[#This Row],[Absent]]</f>
        <v>1451.6129032258063</v>
      </c>
      <c r="BE13" s="23">
        <f>May_Month[[#This Row],[Salary]]-May_Month[[#This Row],[Deduction]]</f>
        <v>43548.387096774197</v>
      </c>
      <c r="BF13" s="22"/>
      <c r="BG13" s="36"/>
    </row>
    <row r="14" spans="1:59" ht="15.75" x14ac:dyDescent="0.25">
      <c r="A14"/>
      <c r="B14"/>
      <c r="C14"/>
      <c r="D14" s="29"/>
      <c r="F14" s="31"/>
      <c r="G14" s="3">
        <v>6</v>
      </c>
      <c r="H14" s="4">
        <v>1006</v>
      </c>
      <c r="I14" s="5" t="s">
        <v>8</v>
      </c>
      <c r="J14" s="37">
        <f t="shared" si="9"/>
        <v>4</v>
      </c>
      <c r="K14" s="38" t="s">
        <v>43</v>
      </c>
      <c r="L14" s="38" t="s">
        <v>43</v>
      </c>
      <c r="M14" s="38" t="s">
        <v>43</v>
      </c>
      <c r="N14" s="38" t="str">
        <f t="shared" si="2"/>
        <v>WO</v>
      </c>
      <c r="O14" s="38" t="s">
        <v>43</v>
      </c>
      <c r="P14" s="38" t="s">
        <v>43</v>
      </c>
      <c r="Q14" s="38" t="s">
        <v>43</v>
      </c>
      <c r="R14" s="38" t="s">
        <v>43</v>
      </c>
      <c r="S14" s="38" t="s">
        <v>43</v>
      </c>
      <c r="T14" s="38" t="s">
        <v>42</v>
      </c>
      <c r="U14" s="38" t="str">
        <f t="shared" si="2"/>
        <v>WO</v>
      </c>
      <c r="V14" s="38" t="s">
        <v>43</v>
      </c>
      <c r="W14" s="38" t="s">
        <v>43</v>
      </c>
      <c r="X14" s="38" t="s">
        <v>43</v>
      </c>
      <c r="Y14" s="38" t="s">
        <v>43</v>
      </c>
      <c r="Z14" s="38" t="s">
        <v>43</v>
      </c>
      <c r="AA14" s="38" t="s">
        <v>43</v>
      </c>
      <c r="AB14" s="38" t="str">
        <f t="shared" si="2"/>
        <v>WO</v>
      </c>
      <c r="AC14" s="38" t="s">
        <v>42</v>
      </c>
      <c r="AD14" s="38" t="s">
        <v>43</v>
      </c>
      <c r="AE14" s="38" t="s">
        <v>43</v>
      </c>
      <c r="AF14" s="38" t="s">
        <v>43</v>
      </c>
      <c r="AG14" s="38" t="s">
        <v>44</v>
      </c>
      <c r="AH14" s="38" t="s">
        <v>43</v>
      </c>
      <c r="AI14" s="38" t="str">
        <f t="shared" si="2"/>
        <v>WO</v>
      </c>
      <c r="AJ14" s="38" t="s">
        <v>43</v>
      </c>
      <c r="AK14" s="38" t="s">
        <v>43</v>
      </c>
      <c r="AL14" s="38" t="s">
        <v>43</v>
      </c>
      <c r="AM14" s="38" t="s">
        <v>43</v>
      </c>
      <c r="AN14" s="38" t="s">
        <v>43</v>
      </c>
      <c r="AO14" s="39" t="s">
        <v>43</v>
      </c>
      <c r="AP14" s="31"/>
      <c r="AQ14" s="36"/>
      <c r="AR14" s="19">
        <v>6</v>
      </c>
      <c r="AS14" s="19">
        <v>1006</v>
      </c>
      <c r="AT14" s="19" t="str">
        <f t="shared" si="3"/>
        <v>May</v>
      </c>
      <c r="AU14" s="19" t="s">
        <v>8</v>
      </c>
      <c r="AV14" s="27">
        <f t="shared" si="4"/>
        <v>24</v>
      </c>
      <c r="AW14" s="22">
        <f t="shared" si="5"/>
        <v>1</v>
      </c>
      <c r="AX14" s="22">
        <f t="shared" si="6"/>
        <v>2</v>
      </c>
      <c r="AY14" s="22">
        <f t="shared" si="7"/>
        <v>4</v>
      </c>
      <c r="AZ14" s="22">
        <f t="shared" si="8"/>
        <v>31</v>
      </c>
      <c r="BA14" s="22">
        <f>May_Month[[#This Row],[Days]]-May_Month[[#This Row],[Absent]]</f>
        <v>30</v>
      </c>
      <c r="BB14" s="23">
        <v>15000</v>
      </c>
      <c r="BC14" s="23">
        <f>May_Month[[#This Row],[Salary]]/May_Month[[#This Row],[Days]]</f>
        <v>483.87096774193549</v>
      </c>
      <c r="BD14" s="24">
        <f>May_Month[[#This Row],[PerDay Salary]]*May_Month[[#This Row],[Absent]]</f>
        <v>483.87096774193549</v>
      </c>
      <c r="BE14" s="23">
        <f>May_Month[[#This Row],[Salary]]-May_Month[[#This Row],[Deduction]]</f>
        <v>14516.129032258064</v>
      </c>
      <c r="BF14" s="22"/>
      <c r="BG14" s="36"/>
    </row>
    <row r="15" spans="1:59" ht="15.75" x14ac:dyDescent="0.25">
      <c r="A15"/>
      <c r="B15"/>
      <c r="C15"/>
      <c r="D15" s="29"/>
      <c r="F15" s="31"/>
      <c r="G15" s="3">
        <v>7</v>
      </c>
      <c r="H15" s="4">
        <v>1007</v>
      </c>
      <c r="I15" s="5" t="s">
        <v>9</v>
      </c>
      <c r="J15" s="37">
        <f t="shared" si="9"/>
        <v>4</v>
      </c>
      <c r="K15" s="38" t="s">
        <v>43</v>
      </c>
      <c r="L15" s="38" t="s">
        <v>43</v>
      </c>
      <c r="M15" s="38" t="s">
        <v>43</v>
      </c>
      <c r="N15" s="38" t="str">
        <f t="shared" si="2"/>
        <v>WO</v>
      </c>
      <c r="O15" s="38" t="s">
        <v>43</v>
      </c>
      <c r="P15" s="38" t="s">
        <v>43</v>
      </c>
      <c r="Q15" s="38" t="s">
        <v>43</v>
      </c>
      <c r="R15" s="38" t="s">
        <v>43</v>
      </c>
      <c r="S15" s="38" t="s">
        <v>43</v>
      </c>
      <c r="T15" s="38" t="s">
        <v>42</v>
      </c>
      <c r="U15" s="38" t="str">
        <f t="shared" si="2"/>
        <v>WO</v>
      </c>
      <c r="V15" s="38" t="s">
        <v>43</v>
      </c>
      <c r="W15" s="38" t="s">
        <v>43</v>
      </c>
      <c r="X15" s="38" t="s">
        <v>43</v>
      </c>
      <c r="Y15" s="38" t="s">
        <v>43</v>
      </c>
      <c r="Z15" s="38" t="s">
        <v>43</v>
      </c>
      <c r="AA15" s="38" t="s">
        <v>43</v>
      </c>
      <c r="AB15" s="38" t="str">
        <f t="shared" si="2"/>
        <v>WO</v>
      </c>
      <c r="AC15" s="38" t="s">
        <v>42</v>
      </c>
      <c r="AD15" s="38" t="s">
        <v>43</v>
      </c>
      <c r="AE15" s="38" t="s">
        <v>43</v>
      </c>
      <c r="AF15" s="38" t="s">
        <v>43</v>
      </c>
      <c r="AG15" s="38" t="s">
        <v>43</v>
      </c>
      <c r="AH15" s="38" t="s">
        <v>43</v>
      </c>
      <c r="AI15" s="38" t="str">
        <f t="shared" si="2"/>
        <v>WO</v>
      </c>
      <c r="AJ15" s="38" t="s">
        <v>43</v>
      </c>
      <c r="AK15" s="38" t="s">
        <v>43</v>
      </c>
      <c r="AL15" s="38" t="s">
        <v>43</v>
      </c>
      <c r="AM15" s="38" t="s">
        <v>43</v>
      </c>
      <c r="AN15" s="38" t="s">
        <v>43</v>
      </c>
      <c r="AO15" s="39" t="s">
        <v>43</v>
      </c>
      <c r="AP15" s="31"/>
      <c r="AQ15" s="36"/>
      <c r="AR15" s="19">
        <v>7</v>
      </c>
      <c r="AS15" s="19">
        <v>1007</v>
      </c>
      <c r="AT15" s="19" t="str">
        <f t="shared" si="3"/>
        <v>May</v>
      </c>
      <c r="AU15" s="19" t="s">
        <v>9</v>
      </c>
      <c r="AV15" s="27">
        <f t="shared" si="4"/>
        <v>25</v>
      </c>
      <c r="AW15" s="22">
        <f t="shared" si="5"/>
        <v>0</v>
      </c>
      <c r="AX15" s="22">
        <f t="shared" si="6"/>
        <v>2</v>
      </c>
      <c r="AY15" s="22">
        <f t="shared" si="7"/>
        <v>4</v>
      </c>
      <c r="AZ15" s="22">
        <f t="shared" si="8"/>
        <v>31</v>
      </c>
      <c r="BA15" s="22">
        <f>May_Month[[#This Row],[Days]]-May_Month[[#This Row],[Absent]]</f>
        <v>31</v>
      </c>
      <c r="BB15" s="23">
        <v>62000</v>
      </c>
      <c r="BC15" s="23">
        <f>May_Month[[#This Row],[Salary]]/May_Month[[#This Row],[Days]]</f>
        <v>2000</v>
      </c>
      <c r="BD15" s="24">
        <f>May_Month[[#This Row],[PerDay Salary]]*May_Month[[#This Row],[Absent]]</f>
        <v>0</v>
      </c>
      <c r="BE15" s="23">
        <f>May_Month[[#This Row],[Salary]]-May_Month[[#This Row],[Deduction]]</f>
        <v>62000</v>
      </c>
      <c r="BF15" s="22"/>
      <c r="BG15" s="36"/>
    </row>
    <row r="16" spans="1:59" ht="15.75" x14ac:dyDescent="0.25">
      <c r="A16"/>
      <c r="B16"/>
      <c r="C16"/>
      <c r="D16" s="29"/>
      <c r="F16" s="31"/>
      <c r="G16" s="3">
        <v>8</v>
      </c>
      <c r="H16" s="4">
        <v>1008</v>
      </c>
      <c r="I16" s="5" t="s">
        <v>10</v>
      </c>
      <c r="J16" s="37">
        <f t="shared" si="9"/>
        <v>4</v>
      </c>
      <c r="K16" s="38" t="s">
        <v>43</v>
      </c>
      <c r="L16" s="38" t="s">
        <v>43</v>
      </c>
      <c r="M16" s="38" t="s">
        <v>43</v>
      </c>
      <c r="N16" s="38" t="str">
        <f t="shared" si="2"/>
        <v>WO</v>
      </c>
      <c r="O16" s="38" t="s">
        <v>43</v>
      </c>
      <c r="P16" s="38" t="s">
        <v>43</v>
      </c>
      <c r="Q16" s="38" t="s">
        <v>43</v>
      </c>
      <c r="R16" s="38" t="s">
        <v>43</v>
      </c>
      <c r="S16" s="38" t="s">
        <v>43</v>
      </c>
      <c r="T16" s="38" t="s">
        <v>42</v>
      </c>
      <c r="U16" s="38" t="str">
        <f t="shared" si="2"/>
        <v>WO</v>
      </c>
      <c r="V16" s="38" t="s">
        <v>43</v>
      </c>
      <c r="W16" s="38" t="s">
        <v>43</v>
      </c>
      <c r="X16" s="38" t="s">
        <v>43</v>
      </c>
      <c r="Y16" s="38" t="s">
        <v>43</v>
      </c>
      <c r="Z16" s="38" t="s">
        <v>43</v>
      </c>
      <c r="AA16" s="38" t="s">
        <v>43</v>
      </c>
      <c r="AB16" s="38" t="str">
        <f t="shared" si="2"/>
        <v>WO</v>
      </c>
      <c r="AC16" s="38" t="s">
        <v>42</v>
      </c>
      <c r="AD16" s="38" t="s">
        <v>44</v>
      </c>
      <c r="AE16" s="38" t="s">
        <v>43</v>
      </c>
      <c r="AF16" s="38" t="s">
        <v>43</v>
      </c>
      <c r="AG16" s="38" t="s">
        <v>43</v>
      </c>
      <c r="AH16" s="38" t="s">
        <v>43</v>
      </c>
      <c r="AI16" s="38" t="str">
        <f t="shared" si="2"/>
        <v>WO</v>
      </c>
      <c r="AJ16" s="38" t="s">
        <v>43</v>
      </c>
      <c r="AK16" s="38" t="s">
        <v>43</v>
      </c>
      <c r="AL16" s="38" t="s">
        <v>43</v>
      </c>
      <c r="AM16" s="38" t="s">
        <v>43</v>
      </c>
      <c r="AN16" s="38" t="s">
        <v>43</v>
      </c>
      <c r="AO16" s="39" t="s">
        <v>43</v>
      </c>
      <c r="AP16" s="31"/>
      <c r="AQ16" s="36"/>
      <c r="AR16" s="19">
        <v>8</v>
      </c>
      <c r="AS16" s="19">
        <v>1008</v>
      </c>
      <c r="AT16" s="19" t="str">
        <f t="shared" si="3"/>
        <v>May</v>
      </c>
      <c r="AU16" s="19" t="s">
        <v>10</v>
      </c>
      <c r="AV16" s="27">
        <f t="shared" si="4"/>
        <v>24</v>
      </c>
      <c r="AW16" s="22">
        <f t="shared" si="5"/>
        <v>1</v>
      </c>
      <c r="AX16" s="22">
        <f t="shared" si="6"/>
        <v>2</v>
      </c>
      <c r="AY16" s="22">
        <f t="shared" si="7"/>
        <v>4</v>
      </c>
      <c r="AZ16" s="22">
        <f t="shared" si="8"/>
        <v>31</v>
      </c>
      <c r="BA16" s="22">
        <f>May_Month[[#This Row],[Days]]-May_Month[[#This Row],[Absent]]</f>
        <v>30</v>
      </c>
      <c r="BB16" s="23">
        <v>50000</v>
      </c>
      <c r="BC16" s="23">
        <f>May_Month[[#This Row],[Salary]]/May_Month[[#This Row],[Days]]</f>
        <v>1612.9032258064517</v>
      </c>
      <c r="BD16" s="24">
        <f>May_Month[[#This Row],[PerDay Salary]]*May_Month[[#This Row],[Absent]]</f>
        <v>1612.9032258064517</v>
      </c>
      <c r="BE16" s="23">
        <f>May_Month[[#This Row],[Salary]]-May_Month[[#This Row],[Deduction]]</f>
        <v>48387.096774193546</v>
      </c>
      <c r="BF16" s="22"/>
      <c r="BG16" s="36"/>
    </row>
    <row r="17" spans="1:59" ht="15.75" x14ac:dyDescent="0.25">
      <c r="A17"/>
      <c r="B17"/>
      <c r="C17"/>
      <c r="D17" s="29"/>
      <c r="F17" s="31"/>
      <c r="G17" s="3">
        <v>9</v>
      </c>
      <c r="H17" s="4">
        <v>1009</v>
      </c>
      <c r="I17" s="5" t="s">
        <v>11</v>
      </c>
      <c r="J17" s="37">
        <f t="shared" si="9"/>
        <v>4</v>
      </c>
      <c r="K17" s="38" t="s">
        <v>43</v>
      </c>
      <c r="L17" s="38" t="s">
        <v>43</v>
      </c>
      <c r="M17" s="38" t="s">
        <v>43</v>
      </c>
      <c r="N17" s="38" t="str">
        <f t="shared" si="2"/>
        <v>WO</v>
      </c>
      <c r="O17" s="38" t="s">
        <v>43</v>
      </c>
      <c r="P17" s="38" t="s">
        <v>43</v>
      </c>
      <c r="Q17" s="38" t="s">
        <v>43</v>
      </c>
      <c r="R17" s="38" t="s">
        <v>43</v>
      </c>
      <c r="S17" s="38" t="s">
        <v>43</v>
      </c>
      <c r="T17" s="38" t="s">
        <v>42</v>
      </c>
      <c r="U17" s="38" t="str">
        <f t="shared" si="2"/>
        <v>WO</v>
      </c>
      <c r="V17" s="38" t="s">
        <v>43</v>
      </c>
      <c r="W17" s="38" t="s">
        <v>43</v>
      </c>
      <c r="X17" s="38" t="s">
        <v>44</v>
      </c>
      <c r="Y17" s="38" t="s">
        <v>44</v>
      </c>
      <c r="Z17" s="38" t="s">
        <v>43</v>
      </c>
      <c r="AA17" s="38" t="s">
        <v>43</v>
      </c>
      <c r="AB17" s="38" t="str">
        <f t="shared" si="2"/>
        <v>WO</v>
      </c>
      <c r="AC17" s="38" t="s">
        <v>42</v>
      </c>
      <c r="AD17" s="38" t="s">
        <v>43</v>
      </c>
      <c r="AE17" s="38" t="s">
        <v>43</v>
      </c>
      <c r="AF17" s="38" t="s">
        <v>43</v>
      </c>
      <c r="AG17" s="38" t="s">
        <v>43</v>
      </c>
      <c r="AH17" s="38" t="s">
        <v>43</v>
      </c>
      <c r="AI17" s="38" t="str">
        <f t="shared" ref="AI17" si="10">IF(AI$7="Sun","WO","")</f>
        <v>WO</v>
      </c>
      <c r="AJ17" s="38" t="s">
        <v>43</v>
      </c>
      <c r="AK17" s="38" t="s">
        <v>43</v>
      </c>
      <c r="AL17" s="38" t="s">
        <v>43</v>
      </c>
      <c r="AM17" s="38" t="s">
        <v>43</v>
      </c>
      <c r="AN17" s="38" t="s">
        <v>43</v>
      </c>
      <c r="AO17" s="39" t="s">
        <v>43</v>
      </c>
      <c r="AP17" s="31"/>
      <c r="AQ17" s="36"/>
      <c r="AR17" s="19">
        <v>9</v>
      </c>
      <c r="AS17" s="19">
        <v>1009</v>
      </c>
      <c r="AT17" s="19" t="str">
        <f t="shared" si="3"/>
        <v>May</v>
      </c>
      <c r="AU17" s="19" t="s">
        <v>11</v>
      </c>
      <c r="AV17" s="27">
        <f t="shared" si="4"/>
        <v>23</v>
      </c>
      <c r="AW17" s="22">
        <f t="shared" si="5"/>
        <v>2</v>
      </c>
      <c r="AX17" s="22">
        <f t="shared" si="6"/>
        <v>2</v>
      </c>
      <c r="AY17" s="22">
        <f t="shared" si="7"/>
        <v>4</v>
      </c>
      <c r="AZ17" s="22">
        <f t="shared" si="8"/>
        <v>31</v>
      </c>
      <c r="BA17" s="22">
        <f>May_Month[[#This Row],[Days]]-May_Month[[#This Row],[Absent]]</f>
        <v>29</v>
      </c>
      <c r="BB17" s="23">
        <v>25000</v>
      </c>
      <c r="BC17" s="23">
        <f>May_Month[[#This Row],[Salary]]/May_Month[[#This Row],[Days]]</f>
        <v>806.45161290322585</v>
      </c>
      <c r="BD17" s="24">
        <f>May_Month[[#This Row],[PerDay Salary]]*May_Month[[#This Row],[Absent]]</f>
        <v>1612.9032258064517</v>
      </c>
      <c r="BE17" s="23">
        <f>May_Month[[#This Row],[Salary]]-May_Month[[#This Row],[Deduction]]</f>
        <v>23387.096774193549</v>
      </c>
      <c r="BF17" s="22"/>
      <c r="BG17" s="36"/>
    </row>
    <row r="18" spans="1:59" ht="15.75" x14ac:dyDescent="0.25">
      <c r="A18"/>
      <c r="B18"/>
      <c r="C18"/>
      <c r="D18" s="29"/>
      <c r="F18" s="31"/>
      <c r="G18" s="3">
        <v>10</v>
      </c>
      <c r="H18" s="4">
        <v>1010</v>
      </c>
      <c r="I18" s="5" t="s">
        <v>12</v>
      </c>
      <c r="J18" s="37">
        <f t="shared" si="9"/>
        <v>4</v>
      </c>
      <c r="K18" s="38" t="s">
        <v>43</v>
      </c>
      <c r="L18" s="38" t="s">
        <v>43</v>
      </c>
      <c r="M18" s="38" t="s">
        <v>43</v>
      </c>
      <c r="N18" s="38" t="str">
        <f t="shared" ref="N18:U28" si="11">IF(N$7="Sun","WO","")</f>
        <v>WO</v>
      </c>
      <c r="O18" s="38" t="s">
        <v>43</v>
      </c>
      <c r="P18" s="38" t="s">
        <v>43</v>
      </c>
      <c r="Q18" s="38" t="s">
        <v>43</v>
      </c>
      <c r="R18" s="38" t="s">
        <v>43</v>
      </c>
      <c r="S18" s="38" t="s">
        <v>43</v>
      </c>
      <c r="T18" s="38" t="s">
        <v>42</v>
      </c>
      <c r="U18" s="38" t="str">
        <f t="shared" si="11"/>
        <v>WO</v>
      </c>
      <c r="V18" s="38" t="s">
        <v>43</v>
      </c>
      <c r="W18" s="38" t="s">
        <v>43</v>
      </c>
      <c r="X18" s="38" t="s">
        <v>43</v>
      </c>
      <c r="Y18" s="38" t="s">
        <v>43</v>
      </c>
      <c r="Z18" s="38" t="s">
        <v>43</v>
      </c>
      <c r="AA18" s="38" t="s">
        <v>43</v>
      </c>
      <c r="AB18" s="38" t="str">
        <f t="shared" ref="AB18:AI28" si="12">IF(AB$7="Sun","WO","")</f>
        <v>WO</v>
      </c>
      <c r="AC18" s="38" t="s">
        <v>42</v>
      </c>
      <c r="AD18" s="38" t="s">
        <v>43</v>
      </c>
      <c r="AE18" s="38" t="s">
        <v>43</v>
      </c>
      <c r="AF18" s="38" t="s">
        <v>43</v>
      </c>
      <c r="AG18" s="38" t="s">
        <v>43</v>
      </c>
      <c r="AH18" s="38" t="s">
        <v>43</v>
      </c>
      <c r="AI18" s="38" t="str">
        <f t="shared" si="12"/>
        <v>WO</v>
      </c>
      <c r="AJ18" s="38" t="s">
        <v>43</v>
      </c>
      <c r="AK18" s="38" t="s">
        <v>43</v>
      </c>
      <c r="AL18" s="38" t="s">
        <v>43</v>
      </c>
      <c r="AM18" s="38" t="s">
        <v>43</v>
      </c>
      <c r="AN18" s="38" t="s">
        <v>43</v>
      </c>
      <c r="AO18" s="39" t="s">
        <v>43</v>
      </c>
      <c r="AP18" s="31"/>
      <c r="AQ18" s="36"/>
      <c r="AR18" s="19">
        <v>10</v>
      </c>
      <c r="AS18" s="19">
        <v>1010</v>
      </c>
      <c r="AT18" s="19" t="str">
        <f t="shared" si="3"/>
        <v>May</v>
      </c>
      <c r="AU18" s="19" t="s">
        <v>12</v>
      </c>
      <c r="AV18" s="27">
        <f t="shared" si="4"/>
        <v>25</v>
      </c>
      <c r="AW18" s="22">
        <f t="shared" si="5"/>
        <v>0</v>
      </c>
      <c r="AX18" s="22">
        <f t="shared" si="6"/>
        <v>2</v>
      </c>
      <c r="AY18" s="22">
        <f t="shared" si="7"/>
        <v>4</v>
      </c>
      <c r="AZ18" s="22">
        <f t="shared" si="8"/>
        <v>31</v>
      </c>
      <c r="BA18" s="22">
        <f>May_Month[[#This Row],[Days]]-May_Month[[#This Row],[Absent]]</f>
        <v>31</v>
      </c>
      <c r="BB18" s="23">
        <v>45000</v>
      </c>
      <c r="BC18" s="23">
        <f>May_Month[[#This Row],[Salary]]/May_Month[[#This Row],[Days]]</f>
        <v>1451.6129032258063</v>
      </c>
      <c r="BD18" s="24">
        <f>May_Month[[#This Row],[PerDay Salary]]*May_Month[[#This Row],[Absent]]</f>
        <v>0</v>
      </c>
      <c r="BE18" s="23">
        <f>May_Month[[#This Row],[Salary]]-May_Month[[#This Row],[Deduction]]</f>
        <v>45000</v>
      </c>
      <c r="BF18" s="22"/>
      <c r="BG18" s="36"/>
    </row>
    <row r="19" spans="1:59" ht="15.75" x14ac:dyDescent="0.25">
      <c r="A19"/>
      <c r="B19"/>
      <c r="C19"/>
      <c r="D19" s="29"/>
      <c r="F19" s="31"/>
      <c r="G19" s="3">
        <v>11</v>
      </c>
      <c r="H19" s="4">
        <v>1011</v>
      </c>
      <c r="I19" s="5" t="s">
        <v>13</v>
      </c>
      <c r="J19" s="37">
        <f t="shared" si="9"/>
        <v>4</v>
      </c>
      <c r="K19" s="38" t="s">
        <v>43</v>
      </c>
      <c r="L19" s="38" t="s">
        <v>43</v>
      </c>
      <c r="M19" s="38" t="s">
        <v>43</v>
      </c>
      <c r="N19" s="38" t="str">
        <f t="shared" si="11"/>
        <v>WO</v>
      </c>
      <c r="O19" s="38" t="s">
        <v>44</v>
      </c>
      <c r="P19" s="38" t="s">
        <v>43</v>
      </c>
      <c r="Q19" s="38" t="s">
        <v>43</v>
      </c>
      <c r="R19" s="38" t="s">
        <v>43</v>
      </c>
      <c r="S19" s="38" t="s">
        <v>43</v>
      </c>
      <c r="T19" s="38" t="s">
        <v>42</v>
      </c>
      <c r="U19" s="38" t="str">
        <f t="shared" si="11"/>
        <v>WO</v>
      </c>
      <c r="V19" s="38" t="s">
        <v>43</v>
      </c>
      <c r="W19" s="38" t="s">
        <v>43</v>
      </c>
      <c r="X19" s="38" t="s">
        <v>43</v>
      </c>
      <c r="Y19" s="38" t="s">
        <v>43</v>
      </c>
      <c r="Z19" s="38" t="s">
        <v>43</v>
      </c>
      <c r="AA19" s="38" t="s">
        <v>43</v>
      </c>
      <c r="AB19" s="38" t="str">
        <f t="shared" si="12"/>
        <v>WO</v>
      </c>
      <c r="AC19" s="38" t="s">
        <v>42</v>
      </c>
      <c r="AD19" s="38" t="s">
        <v>43</v>
      </c>
      <c r="AE19" s="38" t="s">
        <v>43</v>
      </c>
      <c r="AF19" s="38" t="s">
        <v>43</v>
      </c>
      <c r="AG19" s="38" t="s">
        <v>43</v>
      </c>
      <c r="AH19" s="38" t="s">
        <v>43</v>
      </c>
      <c r="AI19" s="38" t="str">
        <f t="shared" si="12"/>
        <v>WO</v>
      </c>
      <c r="AJ19" s="38" t="s">
        <v>43</v>
      </c>
      <c r="AK19" s="38" t="s">
        <v>43</v>
      </c>
      <c r="AL19" s="38" t="s">
        <v>43</v>
      </c>
      <c r="AM19" s="38" t="s">
        <v>43</v>
      </c>
      <c r="AN19" s="38" t="s">
        <v>43</v>
      </c>
      <c r="AO19" s="39" t="s">
        <v>43</v>
      </c>
      <c r="AP19" s="31"/>
      <c r="AQ19" s="36"/>
      <c r="AR19" s="19">
        <v>11</v>
      </c>
      <c r="AS19" s="19">
        <v>1011</v>
      </c>
      <c r="AT19" s="19" t="str">
        <f t="shared" si="3"/>
        <v>May</v>
      </c>
      <c r="AU19" s="19" t="s">
        <v>13</v>
      </c>
      <c r="AV19" s="27">
        <f t="shared" si="4"/>
        <v>24</v>
      </c>
      <c r="AW19" s="22">
        <f t="shared" si="5"/>
        <v>1</v>
      </c>
      <c r="AX19" s="22">
        <f t="shared" si="6"/>
        <v>2</v>
      </c>
      <c r="AY19" s="22">
        <f t="shared" si="7"/>
        <v>4</v>
      </c>
      <c r="AZ19" s="22">
        <f t="shared" si="8"/>
        <v>31</v>
      </c>
      <c r="BA19" s="22">
        <f>May_Month[[#This Row],[Days]]-May_Month[[#This Row],[Absent]]</f>
        <v>30</v>
      </c>
      <c r="BB19" s="23">
        <v>48000</v>
      </c>
      <c r="BC19" s="23">
        <f>May_Month[[#This Row],[Salary]]/May_Month[[#This Row],[Days]]</f>
        <v>1548.3870967741937</v>
      </c>
      <c r="BD19" s="24">
        <f>May_Month[[#This Row],[PerDay Salary]]*May_Month[[#This Row],[Absent]]</f>
        <v>1548.3870967741937</v>
      </c>
      <c r="BE19" s="23">
        <f>May_Month[[#This Row],[Salary]]-May_Month[[#This Row],[Deduction]]</f>
        <v>46451.612903225803</v>
      </c>
      <c r="BF19" s="22"/>
      <c r="BG19" s="36"/>
    </row>
    <row r="20" spans="1:59" ht="15.75" x14ac:dyDescent="0.25">
      <c r="A20"/>
      <c r="B20"/>
      <c r="C20"/>
      <c r="D20" s="29"/>
      <c r="F20" s="31"/>
      <c r="G20" s="3">
        <v>12</v>
      </c>
      <c r="H20" s="4">
        <v>1012</v>
      </c>
      <c r="I20" s="5" t="s">
        <v>14</v>
      </c>
      <c r="J20" s="37">
        <f t="shared" si="9"/>
        <v>4</v>
      </c>
      <c r="K20" s="38" t="s">
        <v>43</v>
      </c>
      <c r="L20" s="38" t="s">
        <v>43</v>
      </c>
      <c r="M20" s="38" t="s">
        <v>43</v>
      </c>
      <c r="N20" s="38" t="str">
        <f t="shared" si="11"/>
        <v>WO</v>
      </c>
      <c r="O20" s="38" t="s">
        <v>43</v>
      </c>
      <c r="P20" s="38" t="s">
        <v>43</v>
      </c>
      <c r="Q20" s="38" t="s">
        <v>43</v>
      </c>
      <c r="R20" s="38" t="s">
        <v>43</v>
      </c>
      <c r="S20" s="38" t="s">
        <v>43</v>
      </c>
      <c r="T20" s="38" t="s">
        <v>42</v>
      </c>
      <c r="U20" s="38" t="str">
        <f t="shared" si="11"/>
        <v>WO</v>
      </c>
      <c r="V20" s="38" t="s">
        <v>43</v>
      </c>
      <c r="W20" s="38" t="s">
        <v>43</v>
      </c>
      <c r="X20" s="38" t="s">
        <v>43</v>
      </c>
      <c r="Y20" s="38" t="s">
        <v>43</v>
      </c>
      <c r="Z20" s="38" t="s">
        <v>43</v>
      </c>
      <c r="AA20" s="38" t="s">
        <v>43</v>
      </c>
      <c r="AB20" s="38" t="str">
        <f t="shared" si="12"/>
        <v>WO</v>
      </c>
      <c r="AC20" s="38" t="s">
        <v>42</v>
      </c>
      <c r="AD20" s="38" t="s">
        <v>43</v>
      </c>
      <c r="AE20" s="38" t="s">
        <v>43</v>
      </c>
      <c r="AF20" s="38" t="s">
        <v>43</v>
      </c>
      <c r="AG20" s="38" t="s">
        <v>43</v>
      </c>
      <c r="AH20" s="38" t="s">
        <v>43</v>
      </c>
      <c r="AI20" s="38" t="str">
        <f t="shared" si="12"/>
        <v>WO</v>
      </c>
      <c r="AJ20" s="38" t="s">
        <v>43</v>
      </c>
      <c r="AK20" s="38" t="s">
        <v>44</v>
      </c>
      <c r="AL20" s="38" t="s">
        <v>43</v>
      </c>
      <c r="AM20" s="38" t="s">
        <v>43</v>
      </c>
      <c r="AN20" s="38" t="s">
        <v>43</v>
      </c>
      <c r="AO20" s="39" t="s">
        <v>43</v>
      </c>
      <c r="AP20" s="31"/>
      <c r="AQ20" s="36"/>
      <c r="AR20" s="19">
        <v>12</v>
      </c>
      <c r="AS20" s="19">
        <v>1012</v>
      </c>
      <c r="AT20" s="19" t="str">
        <f t="shared" si="3"/>
        <v>May</v>
      </c>
      <c r="AU20" s="19" t="s">
        <v>14</v>
      </c>
      <c r="AV20" s="27">
        <f t="shared" si="4"/>
        <v>24</v>
      </c>
      <c r="AW20" s="22">
        <f t="shared" si="5"/>
        <v>1</v>
      </c>
      <c r="AX20" s="22">
        <f t="shared" si="6"/>
        <v>2</v>
      </c>
      <c r="AY20" s="22">
        <f t="shared" si="7"/>
        <v>4</v>
      </c>
      <c r="AZ20" s="22">
        <f t="shared" si="8"/>
        <v>31</v>
      </c>
      <c r="BA20" s="22">
        <f>May_Month[[#This Row],[Days]]-May_Month[[#This Row],[Absent]]</f>
        <v>30</v>
      </c>
      <c r="BB20" s="23">
        <v>52000</v>
      </c>
      <c r="BC20" s="23">
        <f>May_Month[[#This Row],[Salary]]/May_Month[[#This Row],[Days]]</f>
        <v>1677.4193548387098</v>
      </c>
      <c r="BD20" s="24">
        <f>May_Month[[#This Row],[PerDay Salary]]*May_Month[[#This Row],[Absent]]</f>
        <v>1677.4193548387098</v>
      </c>
      <c r="BE20" s="23">
        <f>May_Month[[#This Row],[Salary]]-May_Month[[#This Row],[Deduction]]</f>
        <v>50322.580645161288</v>
      </c>
      <c r="BF20" s="22"/>
      <c r="BG20" s="36"/>
    </row>
    <row r="21" spans="1:59" ht="15.75" x14ac:dyDescent="0.25">
      <c r="A21"/>
      <c r="B21"/>
      <c r="C21"/>
      <c r="D21" s="29"/>
      <c r="F21" s="31"/>
      <c r="G21" s="3">
        <v>13</v>
      </c>
      <c r="H21" s="4">
        <v>1013</v>
      </c>
      <c r="I21" s="5" t="s">
        <v>15</v>
      </c>
      <c r="J21" s="37">
        <f t="shared" si="9"/>
        <v>4</v>
      </c>
      <c r="K21" s="38" t="s">
        <v>43</v>
      </c>
      <c r="L21" s="38" t="s">
        <v>43</v>
      </c>
      <c r="M21" s="38" t="s">
        <v>43</v>
      </c>
      <c r="N21" s="38" t="str">
        <f t="shared" si="11"/>
        <v>WO</v>
      </c>
      <c r="O21" s="38" t="s">
        <v>43</v>
      </c>
      <c r="P21" s="38" t="s">
        <v>43</v>
      </c>
      <c r="Q21" s="38" t="s">
        <v>43</v>
      </c>
      <c r="R21" s="38" t="s">
        <v>43</v>
      </c>
      <c r="S21" s="38" t="s">
        <v>43</v>
      </c>
      <c r="T21" s="38" t="s">
        <v>42</v>
      </c>
      <c r="U21" s="38" t="str">
        <f t="shared" si="11"/>
        <v>WO</v>
      </c>
      <c r="V21" s="38" t="s">
        <v>43</v>
      </c>
      <c r="W21" s="38" t="s">
        <v>43</v>
      </c>
      <c r="X21" s="38" t="s">
        <v>43</v>
      </c>
      <c r="Y21" s="38" t="s">
        <v>43</v>
      </c>
      <c r="Z21" s="38" t="s">
        <v>43</v>
      </c>
      <c r="AA21" s="38" t="s">
        <v>43</v>
      </c>
      <c r="AB21" s="38" t="str">
        <f t="shared" si="12"/>
        <v>WO</v>
      </c>
      <c r="AC21" s="38" t="s">
        <v>42</v>
      </c>
      <c r="AD21" s="38" t="s">
        <v>43</v>
      </c>
      <c r="AE21" s="38" t="s">
        <v>43</v>
      </c>
      <c r="AF21" s="38" t="s">
        <v>43</v>
      </c>
      <c r="AG21" s="38" t="s">
        <v>43</v>
      </c>
      <c r="AH21" s="38" t="s">
        <v>43</v>
      </c>
      <c r="AI21" s="38" t="str">
        <f t="shared" si="12"/>
        <v>WO</v>
      </c>
      <c r="AJ21" s="38" t="s">
        <v>43</v>
      </c>
      <c r="AK21" s="38" t="s">
        <v>43</v>
      </c>
      <c r="AL21" s="38" t="s">
        <v>43</v>
      </c>
      <c r="AM21" s="38" t="s">
        <v>43</v>
      </c>
      <c r="AN21" s="38" t="s">
        <v>43</v>
      </c>
      <c r="AO21" s="39" t="s">
        <v>43</v>
      </c>
      <c r="AP21" s="31"/>
      <c r="AQ21" s="36"/>
      <c r="AR21" s="19">
        <v>13</v>
      </c>
      <c r="AS21" s="19">
        <v>1013</v>
      </c>
      <c r="AT21" s="19" t="str">
        <f t="shared" si="3"/>
        <v>May</v>
      </c>
      <c r="AU21" s="19" t="s">
        <v>15</v>
      </c>
      <c r="AV21" s="27">
        <f t="shared" si="4"/>
        <v>25</v>
      </c>
      <c r="AW21" s="22">
        <f t="shared" si="5"/>
        <v>0</v>
      </c>
      <c r="AX21" s="22">
        <f t="shared" si="6"/>
        <v>2</v>
      </c>
      <c r="AY21" s="22">
        <f t="shared" si="7"/>
        <v>4</v>
      </c>
      <c r="AZ21" s="22">
        <f t="shared" si="8"/>
        <v>31</v>
      </c>
      <c r="BA21" s="22">
        <f>May_Month[[#This Row],[Days]]-May_Month[[#This Row],[Absent]]</f>
        <v>31</v>
      </c>
      <c r="BB21" s="23">
        <v>42000</v>
      </c>
      <c r="BC21" s="23">
        <f>May_Month[[#This Row],[Salary]]/May_Month[[#This Row],[Days]]</f>
        <v>1354.8387096774193</v>
      </c>
      <c r="BD21" s="24">
        <f>May_Month[[#This Row],[PerDay Salary]]*May_Month[[#This Row],[Absent]]</f>
        <v>0</v>
      </c>
      <c r="BE21" s="23">
        <f>May_Month[[#This Row],[Salary]]-May_Month[[#This Row],[Deduction]]</f>
        <v>42000</v>
      </c>
      <c r="BF21" s="22"/>
      <c r="BG21" s="36"/>
    </row>
    <row r="22" spans="1:59" ht="15.75" x14ac:dyDescent="0.25">
      <c r="A22"/>
      <c r="B22"/>
      <c r="C22"/>
      <c r="D22" s="29"/>
      <c r="F22" s="31"/>
      <c r="G22" s="3">
        <v>14</v>
      </c>
      <c r="H22" s="4">
        <v>1014</v>
      </c>
      <c r="I22" s="5" t="s">
        <v>16</v>
      </c>
      <c r="J22" s="37">
        <f t="shared" si="9"/>
        <v>4</v>
      </c>
      <c r="K22" s="38" t="s">
        <v>43</v>
      </c>
      <c r="L22" s="38" t="s">
        <v>43</v>
      </c>
      <c r="M22" s="38" t="s">
        <v>43</v>
      </c>
      <c r="N22" s="38" t="str">
        <f t="shared" si="11"/>
        <v>WO</v>
      </c>
      <c r="O22" s="38" t="s">
        <v>43</v>
      </c>
      <c r="P22" s="38" t="s">
        <v>43</v>
      </c>
      <c r="Q22" s="38" t="s">
        <v>43</v>
      </c>
      <c r="R22" s="38" t="s">
        <v>43</v>
      </c>
      <c r="S22" s="38" t="s">
        <v>43</v>
      </c>
      <c r="T22" s="38" t="s">
        <v>42</v>
      </c>
      <c r="U22" s="38" t="str">
        <f t="shared" si="11"/>
        <v>WO</v>
      </c>
      <c r="V22" s="38" t="s">
        <v>43</v>
      </c>
      <c r="W22" s="38" t="s">
        <v>43</v>
      </c>
      <c r="X22" s="38" t="s">
        <v>43</v>
      </c>
      <c r="Y22" s="38" t="s">
        <v>44</v>
      </c>
      <c r="Z22" s="38" t="s">
        <v>43</v>
      </c>
      <c r="AA22" s="38" t="s">
        <v>43</v>
      </c>
      <c r="AB22" s="38" t="str">
        <f t="shared" si="12"/>
        <v>WO</v>
      </c>
      <c r="AC22" s="38" t="s">
        <v>42</v>
      </c>
      <c r="AD22" s="38" t="s">
        <v>43</v>
      </c>
      <c r="AE22" s="38" t="s">
        <v>43</v>
      </c>
      <c r="AF22" s="38" t="s">
        <v>43</v>
      </c>
      <c r="AG22" s="38" t="s">
        <v>43</v>
      </c>
      <c r="AH22" s="38" t="s">
        <v>43</v>
      </c>
      <c r="AI22" s="38" t="str">
        <f t="shared" si="12"/>
        <v>WO</v>
      </c>
      <c r="AJ22" s="38" t="s">
        <v>43</v>
      </c>
      <c r="AK22" s="38" t="s">
        <v>43</v>
      </c>
      <c r="AL22" s="38" t="s">
        <v>43</v>
      </c>
      <c r="AM22" s="38" t="s">
        <v>43</v>
      </c>
      <c r="AN22" s="38" t="s">
        <v>43</v>
      </c>
      <c r="AO22" s="39" t="s">
        <v>43</v>
      </c>
      <c r="AP22" s="31"/>
      <c r="AQ22" s="36"/>
      <c r="AR22" s="19">
        <v>14</v>
      </c>
      <c r="AS22" s="19">
        <v>1014</v>
      </c>
      <c r="AT22" s="19" t="str">
        <f t="shared" si="3"/>
        <v>May</v>
      </c>
      <c r="AU22" s="19" t="s">
        <v>16</v>
      </c>
      <c r="AV22" s="27">
        <f t="shared" si="4"/>
        <v>24</v>
      </c>
      <c r="AW22" s="22">
        <f t="shared" si="5"/>
        <v>1</v>
      </c>
      <c r="AX22" s="22">
        <f t="shared" si="6"/>
        <v>2</v>
      </c>
      <c r="AY22" s="22">
        <f t="shared" si="7"/>
        <v>4</v>
      </c>
      <c r="AZ22" s="22">
        <f t="shared" si="8"/>
        <v>31</v>
      </c>
      <c r="BA22" s="22">
        <f>May_Month[[#This Row],[Days]]-May_Month[[#This Row],[Absent]]</f>
        <v>30</v>
      </c>
      <c r="BB22" s="23">
        <v>15000</v>
      </c>
      <c r="BC22" s="23">
        <f>May_Month[[#This Row],[Salary]]/May_Month[[#This Row],[Days]]</f>
        <v>483.87096774193549</v>
      </c>
      <c r="BD22" s="24">
        <f>May_Month[[#This Row],[PerDay Salary]]*May_Month[[#This Row],[Absent]]</f>
        <v>483.87096774193549</v>
      </c>
      <c r="BE22" s="23">
        <f>May_Month[[#This Row],[Salary]]-May_Month[[#This Row],[Deduction]]</f>
        <v>14516.129032258064</v>
      </c>
      <c r="BF22" s="22"/>
      <c r="BG22" s="36"/>
    </row>
    <row r="23" spans="1:59" ht="15.75" x14ac:dyDescent="0.25">
      <c r="A23"/>
      <c r="B23"/>
      <c r="C23"/>
      <c r="D23" s="29"/>
      <c r="F23" s="31"/>
      <c r="G23" s="3">
        <v>15</v>
      </c>
      <c r="H23" s="4">
        <v>1015</v>
      </c>
      <c r="I23" s="5" t="s">
        <v>17</v>
      </c>
      <c r="J23" s="37">
        <f t="shared" si="9"/>
        <v>4</v>
      </c>
      <c r="K23" s="38" t="s">
        <v>43</v>
      </c>
      <c r="L23" s="38" t="s">
        <v>43</v>
      </c>
      <c r="M23" s="38" t="s">
        <v>43</v>
      </c>
      <c r="N23" s="38" t="str">
        <f t="shared" si="11"/>
        <v>WO</v>
      </c>
      <c r="O23" s="38" t="s">
        <v>43</v>
      </c>
      <c r="P23" s="38" t="s">
        <v>43</v>
      </c>
      <c r="Q23" s="38" t="s">
        <v>43</v>
      </c>
      <c r="R23" s="38" t="s">
        <v>43</v>
      </c>
      <c r="S23" s="38" t="s">
        <v>43</v>
      </c>
      <c r="T23" s="38" t="s">
        <v>42</v>
      </c>
      <c r="U23" s="38" t="str">
        <f t="shared" si="11"/>
        <v>WO</v>
      </c>
      <c r="V23" s="38" t="s">
        <v>43</v>
      </c>
      <c r="W23" s="38" t="s">
        <v>43</v>
      </c>
      <c r="X23" s="38" t="s">
        <v>43</v>
      </c>
      <c r="Y23" s="38" t="s">
        <v>43</v>
      </c>
      <c r="Z23" s="38" t="s">
        <v>43</v>
      </c>
      <c r="AA23" s="38" t="s">
        <v>43</v>
      </c>
      <c r="AB23" s="38" t="str">
        <f t="shared" si="12"/>
        <v>WO</v>
      </c>
      <c r="AC23" s="38" t="s">
        <v>42</v>
      </c>
      <c r="AD23" s="38" t="s">
        <v>43</v>
      </c>
      <c r="AE23" s="38" t="s">
        <v>43</v>
      </c>
      <c r="AF23" s="38" t="s">
        <v>43</v>
      </c>
      <c r="AG23" s="38" t="s">
        <v>43</v>
      </c>
      <c r="AH23" s="38" t="s">
        <v>43</v>
      </c>
      <c r="AI23" s="38" t="str">
        <f t="shared" si="12"/>
        <v>WO</v>
      </c>
      <c r="AJ23" s="38" t="s">
        <v>43</v>
      </c>
      <c r="AK23" s="38" t="s">
        <v>43</v>
      </c>
      <c r="AL23" s="38" t="s">
        <v>43</v>
      </c>
      <c r="AM23" s="38" t="s">
        <v>43</v>
      </c>
      <c r="AN23" s="38" t="s">
        <v>43</v>
      </c>
      <c r="AO23" s="39" t="s">
        <v>43</v>
      </c>
      <c r="AP23" s="31"/>
      <c r="AQ23" s="36"/>
      <c r="AR23" s="19">
        <v>15</v>
      </c>
      <c r="AS23" s="19">
        <v>1015</v>
      </c>
      <c r="AT23" s="19" t="str">
        <f t="shared" si="3"/>
        <v>May</v>
      </c>
      <c r="AU23" s="19" t="s">
        <v>17</v>
      </c>
      <c r="AV23" s="27">
        <f t="shared" si="4"/>
        <v>25</v>
      </c>
      <c r="AW23" s="22">
        <f t="shared" si="5"/>
        <v>0</v>
      </c>
      <c r="AX23" s="22">
        <f t="shared" si="6"/>
        <v>2</v>
      </c>
      <c r="AY23" s="22">
        <f t="shared" si="7"/>
        <v>4</v>
      </c>
      <c r="AZ23" s="22">
        <f t="shared" si="8"/>
        <v>31</v>
      </c>
      <c r="BA23" s="22">
        <f>May_Month[[#This Row],[Days]]-May_Month[[#This Row],[Absent]]</f>
        <v>31</v>
      </c>
      <c r="BB23" s="23">
        <v>46000</v>
      </c>
      <c r="BC23" s="23">
        <f>May_Month[[#This Row],[Salary]]/May_Month[[#This Row],[Days]]</f>
        <v>1483.8709677419354</v>
      </c>
      <c r="BD23" s="24">
        <f>May_Month[[#This Row],[PerDay Salary]]*May_Month[[#This Row],[Absent]]</f>
        <v>0</v>
      </c>
      <c r="BE23" s="23">
        <f>May_Month[[#This Row],[Salary]]-May_Month[[#This Row],[Deduction]]</f>
        <v>46000</v>
      </c>
      <c r="BF23" s="22"/>
      <c r="BG23" s="36"/>
    </row>
    <row r="24" spans="1:59" ht="15.75" x14ac:dyDescent="0.25">
      <c r="A24"/>
      <c r="B24"/>
      <c r="C24"/>
      <c r="D24" s="29"/>
      <c r="F24" s="31"/>
      <c r="G24" s="3">
        <v>16</v>
      </c>
      <c r="H24" s="4">
        <v>1016</v>
      </c>
      <c r="I24" s="5" t="s">
        <v>18</v>
      </c>
      <c r="J24" s="37">
        <f t="shared" si="9"/>
        <v>4</v>
      </c>
      <c r="K24" s="38" t="s">
        <v>43</v>
      </c>
      <c r="L24" s="38" t="s">
        <v>43</v>
      </c>
      <c r="M24" s="38" t="s">
        <v>43</v>
      </c>
      <c r="N24" s="38" t="str">
        <f t="shared" si="11"/>
        <v>WO</v>
      </c>
      <c r="O24" s="38" t="s">
        <v>43</v>
      </c>
      <c r="P24" s="38" t="s">
        <v>43</v>
      </c>
      <c r="Q24" s="38" t="s">
        <v>44</v>
      </c>
      <c r="R24" s="38" t="s">
        <v>44</v>
      </c>
      <c r="S24" s="38" t="s">
        <v>44</v>
      </c>
      <c r="T24" s="38" t="s">
        <v>42</v>
      </c>
      <c r="U24" s="38" t="str">
        <f t="shared" si="11"/>
        <v>WO</v>
      </c>
      <c r="V24" s="38" t="s">
        <v>43</v>
      </c>
      <c r="W24" s="38" t="s">
        <v>43</v>
      </c>
      <c r="X24" s="38" t="s">
        <v>43</v>
      </c>
      <c r="Y24" s="38" t="s">
        <v>43</v>
      </c>
      <c r="Z24" s="38" t="s">
        <v>43</v>
      </c>
      <c r="AA24" s="38" t="s">
        <v>43</v>
      </c>
      <c r="AB24" s="38" t="str">
        <f t="shared" si="12"/>
        <v>WO</v>
      </c>
      <c r="AC24" s="38" t="s">
        <v>42</v>
      </c>
      <c r="AD24" s="38" t="s">
        <v>43</v>
      </c>
      <c r="AE24" s="38" t="s">
        <v>43</v>
      </c>
      <c r="AF24" s="38" t="s">
        <v>43</v>
      </c>
      <c r="AG24" s="38" t="s">
        <v>43</v>
      </c>
      <c r="AH24" s="38" t="s">
        <v>43</v>
      </c>
      <c r="AI24" s="38" t="str">
        <f t="shared" si="12"/>
        <v>WO</v>
      </c>
      <c r="AJ24" s="38" t="s">
        <v>43</v>
      </c>
      <c r="AK24" s="38" t="s">
        <v>43</v>
      </c>
      <c r="AL24" s="38" t="s">
        <v>43</v>
      </c>
      <c r="AM24" s="38" t="s">
        <v>43</v>
      </c>
      <c r="AN24" s="38" t="s">
        <v>44</v>
      </c>
      <c r="AO24" s="39" t="s">
        <v>43</v>
      </c>
      <c r="AP24" s="31"/>
      <c r="AQ24" s="36"/>
      <c r="AR24" s="19">
        <v>16</v>
      </c>
      <c r="AS24" s="19">
        <v>1016</v>
      </c>
      <c r="AT24" s="19" t="str">
        <f t="shared" si="3"/>
        <v>May</v>
      </c>
      <c r="AU24" s="19" t="s">
        <v>18</v>
      </c>
      <c r="AV24" s="27">
        <f t="shared" si="4"/>
        <v>21</v>
      </c>
      <c r="AW24" s="22">
        <f t="shared" si="5"/>
        <v>4</v>
      </c>
      <c r="AX24" s="22">
        <f t="shared" si="6"/>
        <v>2</v>
      </c>
      <c r="AY24" s="22">
        <f t="shared" si="7"/>
        <v>4</v>
      </c>
      <c r="AZ24" s="22">
        <f t="shared" si="8"/>
        <v>31</v>
      </c>
      <c r="BA24" s="22">
        <f>May_Month[[#This Row],[Days]]-May_Month[[#This Row],[Absent]]</f>
        <v>27</v>
      </c>
      <c r="BB24" s="23">
        <v>52000</v>
      </c>
      <c r="BC24" s="23">
        <f>May_Month[[#This Row],[Salary]]/May_Month[[#This Row],[Days]]</f>
        <v>1677.4193548387098</v>
      </c>
      <c r="BD24" s="24">
        <f>May_Month[[#This Row],[PerDay Salary]]*May_Month[[#This Row],[Absent]]</f>
        <v>6709.677419354839</v>
      </c>
      <c r="BE24" s="23">
        <f>May_Month[[#This Row],[Salary]]-May_Month[[#This Row],[Deduction]]</f>
        <v>45290.322580645159</v>
      </c>
      <c r="BF24" s="22"/>
      <c r="BG24" s="36"/>
    </row>
    <row r="25" spans="1:59" ht="15.75" x14ac:dyDescent="0.25">
      <c r="A25"/>
      <c r="B25"/>
      <c r="C25"/>
      <c r="D25" s="29"/>
      <c r="F25" s="31"/>
      <c r="G25" s="3">
        <v>17</v>
      </c>
      <c r="H25" s="4">
        <v>1017</v>
      </c>
      <c r="I25" s="5" t="s">
        <v>19</v>
      </c>
      <c r="J25" s="37">
        <f t="shared" si="9"/>
        <v>4</v>
      </c>
      <c r="K25" s="38" t="s">
        <v>43</v>
      </c>
      <c r="L25" s="38" t="s">
        <v>43</v>
      </c>
      <c r="M25" s="38" t="s">
        <v>43</v>
      </c>
      <c r="N25" s="38" t="str">
        <f t="shared" si="11"/>
        <v>WO</v>
      </c>
      <c r="O25" s="38" t="s">
        <v>43</v>
      </c>
      <c r="P25" s="38" t="s">
        <v>43</v>
      </c>
      <c r="Q25" s="38" t="s">
        <v>43</v>
      </c>
      <c r="R25" s="38" t="s">
        <v>43</v>
      </c>
      <c r="S25" s="38" t="s">
        <v>43</v>
      </c>
      <c r="T25" s="38" t="s">
        <v>42</v>
      </c>
      <c r="U25" s="38" t="str">
        <f t="shared" si="11"/>
        <v>WO</v>
      </c>
      <c r="V25" s="38" t="s">
        <v>43</v>
      </c>
      <c r="W25" s="38" t="s">
        <v>43</v>
      </c>
      <c r="X25" s="38" t="s">
        <v>43</v>
      </c>
      <c r="Y25" s="38" t="s">
        <v>43</v>
      </c>
      <c r="Z25" s="38" t="s">
        <v>43</v>
      </c>
      <c r="AA25" s="38" t="s">
        <v>43</v>
      </c>
      <c r="AB25" s="38" t="str">
        <f t="shared" si="12"/>
        <v>WO</v>
      </c>
      <c r="AC25" s="38" t="s">
        <v>42</v>
      </c>
      <c r="AD25" s="38" t="s">
        <v>43</v>
      </c>
      <c r="AE25" s="38" t="s">
        <v>43</v>
      </c>
      <c r="AF25" s="38" t="s">
        <v>44</v>
      </c>
      <c r="AG25" s="38" t="s">
        <v>43</v>
      </c>
      <c r="AH25" s="38" t="s">
        <v>43</v>
      </c>
      <c r="AI25" s="38" t="str">
        <f t="shared" si="12"/>
        <v>WO</v>
      </c>
      <c r="AJ25" s="38" t="s">
        <v>43</v>
      </c>
      <c r="AK25" s="38" t="s">
        <v>43</v>
      </c>
      <c r="AL25" s="38" t="s">
        <v>43</v>
      </c>
      <c r="AM25" s="38" t="s">
        <v>43</v>
      </c>
      <c r="AN25" s="38" t="s">
        <v>43</v>
      </c>
      <c r="AO25" s="39" t="s">
        <v>43</v>
      </c>
      <c r="AP25" s="31"/>
      <c r="AQ25" s="36"/>
      <c r="AR25" s="19">
        <v>17</v>
      </c>
      <c r="AS25" s="19">
        <v>1017</v>
      </c>
      <c r="AT25" s="19" t="str">
        <f t="shared" si="3"/>
        <v>May</v>
      </c>
      <c r="AU25" s="19" t="s">
        <v>19</v>
      </c>
      <c r="AV25" s="27">
        <f t="shared" si="4"/>
        <v>24</v>
      </c>
      <c r="AW25" s="22">
        <f t="shared" si="5"/>
        <v>1</v>
      </c>
      <c r="AX25" s="22">
        <f t="shared" si="6"/>
        <v>2</v>
      </c>
      <c r="AY25" s="22">
        <f t="shared" si="7"/>
        <v>4</v>
      </c>
      <c r="AZ25" s="22">
        <f t="shared" si="8"/>
        <v>31</v>
      </c>
      <c r="BA25" s="22">
        <f>May_Month[[#This Row],[Days]]-May_Month[[#This Row],[Absent]]</f>
        <v>30</v>
      </c>
      <c r="BB25" s="23">
        <v>42000</v>
      </c>
      <c r="BC25" s="23">
        <f>May_Month[[#This Row],[Salary]]/May_Month[[#This Row],[Days]]</f>
        <v>1354.8387096774193</v>
      </c>
      <c r="BD25" s="24">
        <f>May_Month[[#This Row],[PerDay Salary]]*May_Month[[#This Row],[Absent]]</f>
        <v>1354.8387096774193</v>
      </c>
      <c r="BE25" s="23">
        <f>May_Month[[#This Row],[Salary]]-May_Month[[#This Row],[Deduction]]</f>
        <v>40645.161290322583</v>
      </c>
      <c r="BF25" s="22"/>
      <c r="BG25" s="36"/>
    </row>
    <row r="26" spans="1:59" ht="15.75" x14ac:dyDescent="0.25">
      <c r="A26"/>
      <c r="B26"/>
      <c r="C26"/>
      <c r="D26" s="29"/>
      <c r="F26" s="31"/>
      <c r="G26" s="3">
        <v>18</v>
      </c>
      <c r="H26" s="4">
        <v>1018</v>
      </c>
      <c r="I26" s="5" t="s">
        <v>20</v>
      </c>
      <c r="J26" s="37">
        <f t="shared" si="9"/>
        <v>4</v>
      </c>
      <c r="K26" s="38" t="s">
        <v>43</v>
      </c>
      <c r="L26" s="38" t="s">
        <v>43</v>
      </c>
      <c r="M26" s="38" t="s">
        <v>43</v>
      </c>
      <c r="N26" s="38" t="str">
        <f t="shared" si="11"/>
        <v>WO</v>
      </c>
      <c r="O26" s="38" t="s">
        <v>43</v>
      </c>
      <c r="P26" s="38" t="s">
        <v>43</v>
      </c>
      <c r="Q26" s="38" t="s">
        <v>43</v>
      </c>
      <c r="R26" s="38" t="s">
        <v>43</v>
      </c>
      <c r="S26" s="38" t="s">
        <v>43</v>
      </c>
      <c r="T26" s="38" t="s">
        <v>42</v>
      </c>
      <c r="U26" s="38" t="str">
        <f t="shared" si="11"/>
        <v>WO</v>
      </c>
      <c r="V26" s="38" t="s">
        <v>43</v>
      </c>
      <c r="W26" s="38" t="s">
        <v>43</v>
      </c>
      <c r="X26" s="38" t="s">
        <v>43</v>
      </c>
      <c r="Y26" s="38" t="s">
        <v>43</v>
      </c>
      <c r="Z26" s="38" t="s">
        <v>43</v>
      </c>
      <c r="AA26" s="38" t="s">
        <v>43</v>
      </c>
      <c r="AB26" s="38" t="str">
        <f t="shared" si="12"/>
        <v>WO</v>
      </c>
      <c r="AC26" s="38" t="s">
        <v>42</v>
      </c>
      <c r="AD26" s="38" t="s">
        <v>43</v>
      </c>
      <c r="AE26" s="38" t="s">
        <v>43</v>
      </c>
      <c r="AF26" s="38" t="s">
        <v>43</v>
      </c>
      <c r="AG26" s="38" t="s">
        <v>43</v>
      </c>
      <c r="AH26" s="38" t="s">
        <v>43</v>
      </c>
      <c r="AI26" s="38" t="str">
        <f t="shared" si="12"/>
        <v>WO</v>
      </c>
      <c r="AJ26" s="38" t="s">
        <v>43</v>
      </c>
      <c r="AK26" s="38" t="s">
        <v>43</v>
      </c>
      <c r="AL26" s="38" t="s">
        <v>43</v>
      </c>
      <c r="AM26" s="38" t="s">
        <v>44</v>
      </c>
      <c r="AN26" s="38" t="s">
        <v>43</v>
      </c>
      <c r="AO26" s="39" t="s">
        <v>43</v>
      </c>
      <c r="AP26" s="31"/>
      <c r="AQ26" s="36"/>
      <c r="AR26" s="19">
        <v>18</v>
      </c>
      <c r="AS26" s="19">
        <v>1018</v>
      </c>
      <c r="AT26" s="19" t="str">
        <f t="shared" si="3"/>
        <v>May</v>
      </c>
      <c r="AU26" s="19" t="s">
        <v>20</v>
      </c>
      <c r="AV26" s="27">
        <f t="shared" si="4"/>
        <v>24</v>
      </c>
      <c r="AW26" s="22">
        <f t="shared" si="5"/>
        <v>1</v>
      </c>
      <c r="AX26" s="22">
        <f t="shared" si="6"/>
        <v>2</v>
      </c>
      <c r="AY26" s="22">
        <f t="shared" si="7"/>
        <v>4</v>
      </c>
      <c r="AZ26" s="22">
        <f t="shared" si="8"/>
        <v>31</v>
      </c>
      <c r="BA26" s="22">
        <f>May_Month[[#This Row],[Days]]-May_Month[[#This Row],[Absent]]</f>
        <v>30</v>
      </c>
      <c r="BB26" s="23">
        <v>62000</v>
      </c>
      <c r="BC26" s="23">
        <f>May_Month[[#This Row],[Salary]]/May_Month[[#This Row],[Days]]</f>
        <v>2000</v>
      </c>
      <c r="BD26" s="24">
        <f>May_Month[[#This Row],[PerDay Salary]]*May_Month[[#This Row],[Absent]]</f>
        <v>2000</v>
      </c>
      <c r="BE26" s="23">
        <f>May_Month[[#This Row],[Salary]]-May_Month[[#This Row],[Deduction]]</f>
        <v>60000</v>
      </c>
      <c r="BF26" s="22"/>
      <c r="BG26" s="36"/>
    </row>
    <row r="27" spans="1:59" ht="15.75" x14ac:dyDescent="0.25">
      <c r="A27"/>
      <c r="B27"/>
      <c r="C27"/>
      <c r="D27" s="29"/>
      <c r="F27" s="31"/>
      <c r="G27" s="3">
        <v>19</v>
      </c>
      <c r="H27" s="4">
        <v>1019</v>
      </c>
      <c r="I27" s="5" t="s">
        <v>21</v>
      </c>
      <c r="J27" s="37">
        <f t="shared" si="9"/>
        <v>4</v>
      </c>
      <c r="K27" s="38" t="s">
        <v>43</v>
      </c>
      <c r="L27" s="38" t="s">
        <v>43</v>
      </c>
      <c r="M27" s="38" t="s">
        <v>43</v>
      </c>
      <c r="N27" s="38" t="str">
        <f t="shared" si="11"/>
        <v>WO</v>
      </c>
      <c r="O27" s="38" t="s">
        <v>43</v>
      </c>
      <c r="P27" s="38" t="s">
        <v>43</v>
      </c>
      <c r="Q27" s="38" t="s">
        <v>43</v>
      </c>
      <c r="R27" s="38" t="s">
        <v>43</v>
      </c>
      <c r="S27" s="38" t="s">
        <v>43</v>
      </c>
      <c r="T27" s="38" t="s">
        <v>42</v>
      </c>
      <c r="U27" s="38" t="str">
        <f t="shared" si="11"/>
        <v>WO</v>
      </c>
      <c r="V27" s="38" t="s">
        <v>43</v>
      </c>
      <c r="W27" s="38" t="s">
        <v>43</v>
      </c>
      <c r="X27" s="38" t="s">
        <v>43</v>
      </c>
      <c r="Y27" s="38" t="s">
        <v>43</v>
      </c>
      <c r="Z27" s="38" t="s">
        <v>43</v>
      </c>
      <c r="AA27" s="38" t="s">
        <v>43</v>
      </c>
      <c r="AB27" s="38" t="str">
        <f t="shared" si="12"/>
        <v>WO</v>
      </c>
      <c r="AC27" s="38" t="s">
        <v>42</v>
      </c>
      <c r="AD27" s="38" t="s">
        <v>43</v>
      </c>
      <c r="AE27" s="38" t="s">
        <v>44</v>
      </c>
      <c r="AF27" s="38" t="s">
        <v>43</v>
      </c>
      <c r="AG27" s="38" t="s">
        <v>43</v>
      </c>
      <c r="AH27" s="38" t="s">
        <v>43</v>
      </c>
      <c r="AI27" s="38" t="str">
        <f t="shared" si="12"/>
        <v>WO</v>
      </c>
      <c r="AJ27" s="38" t="s">
        <v>43</v>
      </c>
      <c r="AK27" s="38" t="s">
        <v>43</v>
      </c>
      <c r="AL27" s="38" t="s">
        <v>43</v>
      </c>
      <c r="AM27" s="38" t="s">
        <v>43</v>
      </c>
      <c r="AN27" s="38" t="s">
        <v>43</v>
      </c>
      <c r="AO27" s="39" t="s">
        <v>43</v>
      </c>
      <c r="AP27" s="31"/>
      <c r="AQ27" s="36"/>
      <c r="AR27" s="19">
        <v>19</v>
      </c>
      <c r="AS27" s="19">
        <v>1019</v>
      </c>
      <c r="AT27" s="19" t="str">
        <f t="shared" si="3"/>
        <v>May</v>
      </c>
      <c r="AU27" s="19" t="s">
        <v>21</v>
      </c>
      <c r="AV27" s="27">
        <f t="shared" si="4"/>
        <v>24</v>
      </c>
      <c r="AW27" s="22">
        <f t="shared" si="5"/>
        <v>1</v>
      </c>
      <c r="AX27" s="22">
        <f t="shared" si="6"/>
        <v>2</v>
      </c>
      <c r="AY27" s="22">
        <f t="shared" si="7"/>
        <v>4</v>
      </c>
      <c r="AZ27" s="22">
        <f t="shared" si="8"/>
        <v>31</v>
      </c>
      <c r="BA27" s="22">
        <f>May_Month[[#This Row],[Days]]-May_Month[[#This Row],[Absent]]</f>
        <v>30</v>
      </c>
      <c r="BB27" s="23">
        <v>41000</v>
      </c>
      <c r="BC27" s="23">
        <f>May_Month[[#This Row],[Salary]]/May_Month[[#This Row],[Days]]</f>
        <v>1322.5806451612902</v>
      </c>
      <c r="BD27" s="24">
        <f>May_Month[[#This Row],[PerDay Salary]]*May_Month[[#This Row],[Absent]]</f>
        <v>1322.5806451612902</v>
      </c>
      <c r="BE27" s="23">
        <f>May_Month[[#This Row],[Salary]]-May_Month[[#This Row],[Deduction]]</f>
        <v>39677.419354838712</v>
      </c>
      <c r="BF27" s="22"/>
      <c r="BG27" s="36"/>
    </row>
    <row r="28" spans="1:59" ht="16.5" thickBot="1" x14ac:dyDescent="0.3">
      <c r="A28"/>
      <c r="B28"/>
      <c r="C28"/>
      <c r="D28" s="29"/>
      <c r="F28" s="31"/>
      <c r="G28" s="6">
        <v>20</v>
      </c>
      <c r="H28" s="7">
        <v>1020</v>
      </c>
      <c r="I28" s="8" t="s">
        <v>22</v>
      </c>
      <c r="J28" s="40">
        <f t="shared" si="9"/>
        <v>4</v>
      </c>
      <c r="K28" s="41" t="s">
        <v>44</v>
      </c>
      <c r="L28" s="41" t="s">
        <v>43</v>
      </c>
      <c r="M28" s="41" t="s">
        <v>44</v>
      </c>
      <c r="N28" s="41" t="str">
        <f t="shared" si="11"/>
        <v>WO</v>
      </c>
      <c r="O28" s="41" t="s">
        <v>43</v>
      </c>
      <c r="P28" s="41" t="s">
        <v>43</v>
      </c>
      <c r="Q28" s="41" t="s">
        <v>43</v>
      </c>
      <c r="R28" s="41" t="s">
        <v>43</v>
      </c>
      <c r="S28" s="41" t="s">
        <v>43</v>
      </c>
      <c r="T28" s="41" t="s">
        <v>42</v>
      </c>
      <c r="U28" s="41" t="str">
        <f t="shared" si="11"/>
        <v>WO</v>
      </c>
      <c r="V28" s="41" t="s">
        <v>43</v>
      </c>
      <c r="W28" s="41" t="s">
        <v>43</v>
      </c>
      <c r="X28" s="41" t="s">
        <v>43</v>
      </c>
      <c r="Y28" s="41" t="s">
        <v>43</v>
      </c>
      <c r="Z28" s="41" t="s">
        <v>43</v>
      </c>
      <c r="AA28" s="41" t="s">
        <v>43</v>
      </c>
      <c r="AB28" s="41" t="str">
        <f t="shared" si="12"/>
        <v>WO</v>
      </c>
      <c r="AC28" s="41" t="s">
        <v>42</v>
      </c>
      <c r="AD28" s="41" t="s">
        <v>43</v>
      </c>
      <c r="AE28" s="41" t="s">
        <v>43</v>
      </c>
      <c r="AF28" s="41" t="s">
        <v>43</v>
      </c>
      <c r="AG28" s="41" t="s">
        <v>43</v>
      </c>
      <c r="AH28" s="41" t="s">
        <v>43</v>
      </c>
      <c r="AI28" s="41" t="str">
        <f t="shared" si="12"/>
        <v>WO</v>
      </c>
      <c r="AJ28" s="41" t="s">
        <v>43</v>
      </c>
      <c r="AK28" s="41" t="s">
        <v>43</v>
      </c>
      <c r="AL28" s="41" t="s">
        <v>43</v>
      </c>
      <c r="AM28" s="41" t="s">
        <v>43</v>
      </c>
      <c r="AN28" s="41" t="s">
        <v>43</v>
      </c>
      <c r="AO28" s="42" t="s">
        <v>43</v>
      </c>
      <c r="AP28" s="31"/>
      <c r="AQ28" s="36"/>
      <c r="AR28" s="19">
        <v>20</v>
      </c>
      <c r="AS28" s="19">
        <v>1020</v>
      </c>
      <c r="AT28" s="19" t="str">
        <f t="shared" si="3"/>
        <v>May</v>
      </c>
      <c r="AU28" s="19" t="s">
        <v>22</v>
      </c>
      <c r="AV28" s="27">
        <f t="shared" si="4"/>
        <v>23</v>
      </c>
      <c r="AW28" s="22">
        <f t="shared" si="5"/>
        <v>2</v>
      </c>
      <c r="AX28" s="22">
        <f t="shared" si="6"/>
        <v>2</v>
      </c>
      <c r="AY28" s="22">
        <f t="shared" si="7"/>
        <v>4</v>
      </c>
      <c r="AZ28" s="22">
        <f t="shared" si="8"/>
        <v>31</v>
      </c>
      <c r="BA28" s="22">
        <f>May_Month[[#This Row],[Days]]-May_Month[[#This Row],[Absent]]</f>
        <v>29</v>
      </c>
      <c r="BB28" s="23">
        <v>30000</v>
      </c>
      <c r="BC28" s="23">
        <f>May_Month[[#This Row],[Salary]]/May_Month[[#This Row],[Days]]</f>
        <v>967.74193548387098</v>
      </c>
      <c r="BD28" s="24">
        <f>May_Month[[#This Row],[PerDay Salary]]*May_Month[[#This Row],[Absent]]</f>
        <v>1935.483870967742</v>
      </c>
      <c r="BE28" s="23">
        <f>May_Month[[#This Row],[Salary]]-May_Month[[#This Row],[Deduction]]</f>
        <v>28064.516129032258</v>
      </c>
      <c r="BF28" s="22"/>
      <c r="BG28" s="36"/>
    </row>
    <row r="29" spans="1:59" ht="15.75" thickTop="1" x14ac:dyDescent="0.25">
      <c r="A29"/>
      <c r="B29"/>
      <c r="C29"/>
      <c r="D29" s="29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x14ac:dyDescent="0.25">
      <c r="D30" s="29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</row>
    <row r="31" spans="1:59" x14ac:dyDescent="0.25">
      <c r="D31" s="29"/>
    </row>
    <row r="32" spans="1:59" x14ac:dyDescent="0.25">
      <c r="D32" s="29"/>
    </row>
    <row r="33" spans="4:4" x14ac:dyDescent="0.25">
      <c r="D33" s="29"/>
    </row>
    <row r="34" spans="4:4" x14ac:dyDescent="0.25">
      <c r="D34" s="29"/>
    </row>
    <row r="35" spans="4:4" x14ac:dyDescent="0.25">
      <c r="D35" s="29"/>
    </row>
    <row r="36" spans="4:4" x14ac:dyDescent="0.25">
      <c r="D36" s="29"/>
    </row>
    <row r="37" spans="4:4" x14ac:dyDescent="0.25">
      <c r="D37" s="29"/>
    </row>
    <row r="38" spans="4:4" x14ac:dyDescent="0.25">
      <c r="D38" s="29"/>
    </row>
    <row r="39" spans="4:4" x14ac:dyDescent="0.25">
      <c r="D39" s="29"/>
    </row>
    <row r="40" spans="4:4" x14ac:dyDescent="0.25">
      <c r="D40" s="29"/>
    </row>
    <row r="41" spans="4:4" x14ac:dyDescent="0.25">
      <c r="D41" s="29"/>
    </row>
    <row r="42" spans="4:4" x14ac:dyDescent="0.25">
      <c r="D42" s="29"/>
    </row>
    <row r="43" spans="4:4" x14ac:dyDescent="0.25">
      <c r="D43" s="29"/>
    </row>
    <row r="44" spans="4:4" x14ac:dyDescent="0.25">
      <c r="D44" s="29"/>
    </row>
    <row r="45" spans="4:4" x14ac:dyDescent="0.25">
      <c r="D45" s="29"/>
    </row>
    <row r="46" spans="4:4" x14ac:dyDescent="0.25">
      <c r="D46" s="29"/>
    </row>
    <row r="47" spans="4:4" x14ac:dyDescent="0.25">
      <c r="D47" s="29"/>
    </row>
    <row r="48" spans="4:4" x14ac:dyDescent="0.25">
      <c r="D48" s="29"/>
    </row>
  </sheetData>
  <mergeCells count="1">
    <mergeCell ref="G7:I7"/>
  </mergeCells>
  <conditionalFormatting sqref="K9:AO28">
    <cfRule type="containsText" dxfId="191" priority="1" operator="containsText" text="L">
      <formula>NOT(ISERROR(SEARCH("L",K9)))</formula>
    </cfRule>
    <cfRule type="containsText" dxfId="190" priority="2" operator="containsText" text="A">
      <formula>NOT(ISERROR(SEARCH("A",K9)))</formula>
    </cfRule>
    <cfRule type="containsText" dxfId="189" priority="3" operator="containsText" text="P">
      <formula>NOT(ISERROR(SEARCH("P",K9)))</formula>
    </cfRule>
    <cfRule type="containsText" dxfId="188" priority="4" operator="containsText" text="WO">
      <formula>NOT(ISERROR(SEARCH("WO",K9)))</formula>
    </cfRule>
    <cfRule type="containsText" dxfId="187" priority="5" operator="containsText" text="WO">
      <formula>NOT(ISERROR(SEARCH("WO",K9)))</formula>
    </cfRule>
  </conditionalFormatting>
  <dataValidations count="1">
    <dataValidation type="list" allowBlank="1" showInputMessage="1" showErrorMessage="1" sqref="AC9:AH28 K9:M28 AJ9:AO28 V9:AA28 O9:T28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May!AV9:AY9</xm:f>
              <xm:sqref>BF9</xm:sqref>
            </x14:sparkline>
            <x14:sparkline>
              <xm:f>May!AV10:AY10</xm:f>
              <xm:sqref>BF10</xm:sqref>
            </x14:sparkline>
            <x14:sparkline>
              <xm:f>May!AV11:AY11</xm:f>
              <xm:sqref>BF11</xm:sqref>
            </x14:sparkline>
            <x14:sparkline>
              <xm:f>May!AV12:AY12</xm:f>
              <xm:sqref>BF12</xm:sqref>
            </x14:sparkline>
            <x14:sparkline>
              <xm:f>May!AV13:AY13</xm:f>
              <xm:sqref>BF13</xm:sqref>
            </x14:sparkline>
            <x14:sparkline>
              <xm:f>May!AV14:AY14</xm:f>
              <xm:sqref>BF14</xm:sqref>
            </x14:sparkline>
            <x14:sparkline>
              <xm:f>May!AV15:AY15</xm:f>
              <xm:sqref>BF15</xm:sqref>
            </x14:sparkline>
            <x14:sparkline>
              <xm:f>May!AV16:AY16</xm:f>
              <xm:sqref>BF16</xm:sqref>
            </x14:sparkline>
            <x14:sparkline>
              <xm:f>May!AV17:AY17</xm:f>
              <xm:sqref>BF17</xm:sqref>
            </x14:sparkline>
            <x14:sparkline>
              <xm:f>May!AV18:AY18</xm:f>
              <xm:sqref>BF18</xm:sqref>
            </x14:sparkline>
            <x14:sparkline>
              <xm:f>May!AV19:AY19</xm:f>
              <xm:sqref>BF19</xm:sqref>
            </x14:sparkline>
            <x14:sparkline>
              <xm:f>May!AV20:AY20</xm:f>
              <xm:sqref>BF20</xm:sqref>
            </x14:sparkline>
            <x14:sparkline>
              <xm:f>May!AV21:AY21</xm:f>
              <xm:sqref>BF21</xm:sqref>
            </x14:sparkline>
            <x14:sparkline>
              <xm:f>May!AV22:AY22</xm:f>
              <xm:sqref>BF22</xm:sqref>
            </x14:sparkline>
            <x14:sparkline>
              <xm:f>May!AV23:AY23</xm:f>
              <xm:sqref>BF23</xm:sqref>
            </x14:sparkline>
            <x14:sparkline>
              <xm:f>May!AV24:AY24</xm:f>
              <xm:sqref>BF24</xm:sqref>
            </x14:sparkline>
            <x14:sparkline>
              <xm:f>May!AV25:AY25</xm:f>
              <xm:sqref>BF25</xm:sqref>
            </x14:sparkline>
            <x14:sparkline>
              <xm:f>May!AV26:AY26</xm:f>
              <xm:sqref>BF26</xm:sqref>
            </x14:sparkline>
            <x14:sparkline>
              <xm:f>May!AV27:AY27</xm:f>
              <xm:sqref>BF27</xm:sqref>
            </x14:sparkline>
            <x14:sparkline>
              <xm:f>May!AV28:AY28</xm:f>
              <xm:sqref>BF28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zoomScale="70" zoomScaleNormal="70" workbookViewId="0">
      <selection activeCell="AM4" sqref="AM4"/>
    </sheetView>
  </sheetViews>
  <sheetFormatPr defaultRowHeight="15" x14ac:dyDescent="0.25"/>
  <cols>
    <col min="1" max="3" width="9.140625" style="29"/>
    <col min="5" max="6" width="9.140625" style="29"/>
    <col min="7" max="7" width="7.28515625" style="29" customWidth="1"/>
    <col min="8" max="8" width="15.28515625" style="29" bestFit="1" customWidth="1"/>
    <col min="9" max="9" width="22.42578125" style="29" bestFit="1" customWidth="1"/>
    <col min="10" max="10" width="10" style="29" bestFit="1" customWidth="1"/>
    <col min="11" max="37" width="4" style="29" customWidth="1"/>
    <col min="38" max="38" width="7.7109375" style="29" customWidth="1"/>
    <col min="39" max="41" width="4" style="29" customWidth="1"/>
    <col min="42" max="43" width="9.140625" style="29"/>
    <col min="44" max="44" width="7.28515625" style="29" customWidth="1"/>
    <col min="45" max="46" width="14.140625" style="29" customWidth="1"/>
    <col min="47" max="47" width="17.85546875" style="29" customWidth="1"/>
    <col min="48" max="48" width="9.85546875" style="29" customWidth="1"/>
    <col min="49" max="49" width="9.28515625" style="29" customWidth="1"/>
    <col min="50" max="50" width="9.140625" style="29"/>
    <col min="51" max="51" width="11.85546875" style="29" customWidth="1"/>
    <col min="52" max="52" width="9.140625" style="29"/>
    <col min="53" max="53" width="12" style="29" customWidth="1"/>
    <col min="54" max="54" width="12.42578125" style="29" bestFit="1" customWidth="1"/>
    <col min="55" max="55" width="15.7109375" style="29" customWidth="1"/>
    <col min="56" max="56" width="12.140625" style="29" customWidth="1"/>
    <col min="57" max="57" width="13.7109375" style="29" customWidth="1"/>
    <col min="58" max="58" width="15.5703125" style="29" bestFit="1" customWidth="1"/>
    <col min="59" max="16384" width="9.140625" style="29"/>
  </cols>
  <sheetData>
    <row r="1" spans="1:59" x14ac:dyDescent="0.25">
      <c r="A1"/>
      <c r="B1"/>
      <c r="C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25">
      <c r="A2"/>
      <c r="B2"/>
      <c r="C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25">
      <c r="A3"/>
      <c r="B3"/>
      <c r="C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25">
      <c r="A4"/>
      <c r="B4"/>
      <c r="C4"/>
      <c r="D4" s="29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/>
      <c r="B5"/>
      <c r="C5"/>
      <c r="D5" s="29"/>
      <c r="F5" s="43"/>
      <c r="G5" s="43" t="s">
        <v>27</v>
      </c>
      <c r="H5" s="44">
        <v>45809</v>
      </c>
      <c r="I5" s="43">
        <f>(DATEDIF($H$5,$L$5,"D"))+1</f>
        <v>30</v>
      </c>
      <c r="J5" s="43" t="str">
        <f>TEXT(H5,"MMMM")</f>
        <v>June</v>
      </c>
      <c r="K5" s="43" t="s">
        <v>28</v>
      </c>
      <c r="L5" s="44">
        <f>EOMONTH(H5,0)</f>
        <v>45838</v>
      </c>
      <c r="M5" s="43"/>
      <c r="BD5" s="30"/>
    </row>
    <row r="6" spans="1:59" ht="15.75" thickBot="1" x14ac:dyDescent="0.3">
      <c r="A6"/>
      <c r="B6"/>
      <c r="C6"/>
      <c r="D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30" thickTop="1" x14ac:dyDescent="0.25">
      <c r="A7"/>
      <c r="B7"/>
      <c r="C7"/>
      <c r="D7" s="29"/>
      <c r="F7" s="31"/>
      <c r="G7" s="56" t="s">
        <v>30</v>
      </c>
      <c r="H7" s="57"/>
      <c r="I7" s="57"/>
      <c r="J7" s="16" t="s">
        <v>29</v>
      </c>
      <c r="K7" s="59" t="str">
        <f>TEXT(K8,"DDD")</f>
        <v>Sun</v>
      </c>
      <c r="L7" s="59" t="str">
        <f t="shared" ref="L7:AO7" si="0">TEXT(L8,"DDD")</f>
        <v>Mon</v>
      </c>
      <c r="M7" s="59" t="str">
        <f t="shared" si="0"/>
        <v>Tue</v>
      </c>
      <c r="N7" s="59" t="str">
        <f t="shared" si="0"/>
        <v>Wed</v>
      </c>
      <c r="O7" s="59" t="str">
        <f t="shared" si="0"/>
        <v>Thu</v>
      </c>
      <c r="P7" s="59" t="str">
        <f t="shared" si="0"/>
        <v>Fri</v>
      </c>
      <c r="Q7" s="59" t="str">
        <f t="shared" si="0"/>
        <v>Sat</v>
      </c>
      <c r="R7" s="59" t="str">
        <f t="shared" si="0"/>
        <v>Sun</v>
      </c>
      <c r="S7" s="59" t="str">
        <f t="shared" si="0"/>
        <v>Mon</v>
      </c>
      <c r="T7" s="59" t="str">
        <f t="shared" si="0"/>
        <v>Tue</v>
      </c>
      <c r="U7" s="59" t="str">
        <f t="shared" si="0"/>
        <v>Wed</v>
      </c>
      <c r="V7" s="59" t="str">
        <f t="shared" si="0"/>
        <v>Thu</v>
      </c>
      <c r="W7" s="59" t="str">
        <f t="shared" si="0"/>
        <v>Fri</v>
      </c>
      <c r="X7" s="59" t="str">
        <f t="shared" si="0"/>
        <v>Sat</v>
      </c>
      <c r="Y7" s="59" t="str">
        <f t="shared" si="0"/>
        <v>Sun</v>
      </c>
      <c r="Z7" s="59" t="str">
        <f t="shared" si="0"/>
        <v>Mon</v>
      </c>
      <c r="AA7" s="59" t="str">
        <f t="shared" si="0"/>
        <v>Tue</v>
      </c>
      <c r="AB7" s="59" t="str">
        <f t="shared" si="0"/>
        <v>Wed</v>
      </c>
      <c r="AC7" s="59" t="str">
        <f t="shared" si="0"/>
        <v>Thu</v>
      </c>
      <c r="AD7" s="59" t="str">
        <f t="shared" si="0"/>
        <v>Fri</v>
      </c>
      <c r="AE7" s="59" t="str">
        <f t="shared" si="0"/>
        <v>Sat</v>
      </c>
      <c r="AF7" s="59" t="str">
        <f t="shared" si="0"/>
        <v>Sun</v>
      </c>
      <c r="AG7" s="59" t="str">
        <f t="shared" si="0"/>
        <v>Mon</v>
      </c>
      <c r="AH7" s="59" t="str">
        <f t="shared" si="0"/>
        <v>Tue</v>
      </c>
      <c r="AI7" s="59" t="str">
        <f t="shared" si="0"/>
        <v>Wed</v>
      </c>
      <c r="AJ7" s="59" t="str">
        <f t="shared" si="0"/>
        <v>Thu</v>
      </c>
      <c r="AK7" s="59" t="str">
        <f t="shared" si="0"/>
        <v>Fri</v>
      </c>
      <c r="AL7" s="59" t="str">
        <f t="shared" si="0"/>
        <v>Sat</v>
      </c>
      <c r="AM7" s="59" t="str">
        <f t="shared" si="0"/>
        <v>Sun</v>
      </c>
      <c r="AN7" s="59" t="str">
        <f t="shared" si="0"/>
        <v>Mon</v>
      </c>
      <c r="AO7" s="60" t="str">
        <f t="shared" si="0"/>
        <v/>
      </c>
      <c r="AP7" s="31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/>
      <c r="B8"/>
      <c r="C8"/>
      <c r="D8" s="29"/>
      <c r="F8" s="31"/>
      <c r="G8" s="9" t="s">
        <v>23</v>
      </c>
      <c r="H8" s="10" t="s">
        <v>24</v>
      </c>
      <c r="I8" s="10" t="s">
        <v>25</v>
      </c>
      <c r="J8" s="54" t="s">
        <v>26</v>
      </c>
      <c r="K8" s="13">
        <f>H5</f>
        <v>45809</v>
      </c>
      <c r="L8" s="13">
        <f>IF(K8&lt;$L$5,K8+1,"")</f>
        <v>45810</v>
      </c>
      <c r="M8" s="13">
        <f t="shared" ref="M8:AO8" si="1">IF(L8&lt;$L$5,L8+1,"")</f>
        <v>45811</v>
      </c>
      <c r="N8" s="13">
        <f t="shared" si="1"/>
        <v>45812</v>
      </c>
      <c r="O8" s="13">
        <f t="shared" si="1"/>
        <v>45813</v>
      </c>
      <c r="P8" s="13">
        <f t="shared" si="1"/>
        <v>45814</v>
      </c>
      <c r="Q8" s="13">
        <f t="shared" si="1"/>
        <v>45815</v>
      </c>
      <c r="R8" s="13">
        <f t="shared" si="1"/>
        <v>45816</v>
      </c>
      <c r="S8" s="13">
        <f t="shared" si="1"/>
        <v>45817</v>
      </c>
      <c r="T8" s="13">
        <f t="shared" si="1"/>
        <v>45818</v>
      </c>
      <c r="U8" s="13">
        <f t="shared" si="1"/>
        <v>45819</v>
      </c>
      <c r="V8" s="13">
        <f t="shared" si="1"/>
        <v>45820</v>
      </c>
      <c r="W8" s="13">
        <f t="shared" si="1"/>
        <v>45821</v>
      </c>
      <c r="X8" s="13">
        <f t="shared" si="1"/>
        <v>45822</v>
      </c>
      <c r="Y8" s="13">
        <f t="shared" si="1"/>
        <v>45823</v>
      </c>
      <c r="Z8" s="13">
        <f t="shared" si="1"/>
        <v>45824</v>
      </c>
      <c r="AA8" s="13">
        <f t="shared" si="1"/>
        <v>45825</v>
      </c>
      <c r="AB8" s="13">
        <f t="shared" si="1"/>
        <v>45826</v>
      </c>
      <c r="AC8" s="13">
        <f t="shared" si="1"/>
        <v>45827</v>
      </c>
      <c r="AD8" s="13">
        <f t="shared" si="1"/>
        <v>45828</v>
      </c>
      <c r="AE8" s="13">
        <f t="shared" si="1"/>
        <v>45829</v>
      </c>
      <c r="AF8" s="13">
        <f t="shared" si="1"/>
        <v>45830</v>
      </c>
      <c r="AG8" s="13">
        <f t="shared" si="1"/>
        <v>45831</v>
      </c>
      <c r="AH8" s="13">
        <f t="shared" si="1"/>
        <v>45832</v>
      </c>
      <c r="AI8" s="13">
        <f t="shared" si="1"/>
        <v>45833</v>
      </c>
      <c r="AJ8" s="13">
        <f t="shared" si="1"/>
        <v>45834</v>
      </c>
      <c r="AK8" s="13">
        <f t="shared" si="1"/>
        <v>45835</v>
      </c>
      <c r="AL8" s="13">
        <f t="shared" si="1"/>
        <v>45836</v>
      </c>
      <c r="AM8" s="13">
        <f t="shared" si="1"/>
        <v>45837</v>
      </c>
      <c r="AN8" s="13">
        <f t="shared" si="1"/>
        <v>45838</v>
      </c>
      <c r="AO8" s="14" t="str">
        <f t="shared" si="1"/>
        <v/>
      </c>
      <c r="AP8" s="32"/>
      <c r="AQ8" s="35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36"/>
    </row>
    <row r="9" spans="1:59" ht="16.5" thickTop="1" x14ac:dyDescent="0.25">
      <c r="A9"/>
      <c r="B9"/>
      <c r="C9"/>
      <c r="D9" s="29"/>
      <c r="F9" s="31"/>
      <c r="G9" s="3">
        <v>1</v>
      </c>
      <c r="H9" s="4">
        <v>1001</v>
      </c>
      <c r="I9" s="4" t="s">
        <v>3</v>
      </c>
      <c r="J9" s="38">
        <f>COUNTIF($K$7:$AO$7,"Sun")</f>
        <v>5</v>
      </c>
      <c r="K9" s="38" t="str">
        <f>IF(K$7="Sun","WO","")</f>
        <v>WO</v>
      </c>
      <c r="L9" s="38" t="s">
        <v>44</v>
      </c>
      <c r="M9" s="38" t="s">
        <v>43</v>
      </c>
      <c r="N9" s="38" t="s">
        <v>43</v>
      </c>
      <c r="O9" s="38" t="s">
        <v>43</v>
      </c>
      <c r="P9" s="38" t="s">
        <v>42</v>
      </c>
      <c r="Q9" s="38" t="s">
        <v>43</v>
      </c>
      <c r="R9" s="38" t="str">
        <f t="shared" ref="R9:AM17" si="2">IF(R$7="Sun","WO","")</f>
        <v>WO</v>
      </c>
      <c r="S9" s="38" t="s">
        <v>43</v>
      </c>
      <c r="T9" s="38" t="s">
        <v>43</v>
      </c>
      <c r="U9" s="38" t="s">
        <v>43</v>
      </c>
      <c r="V9" s="38" t="s">
        <v>43</v>
      </c>
      <c r="W9" s="38" t="s">
        <v>43</v>
      </c>
      <c r="X9" s="38" t="s">
        <v>42</v>
      </c>
      <c r="Y9" s="38" t="str">
        <f t="shared" si="2"/>
        <v>WO</v>
      </c>
      <c r="Z9" s="38" t="s">
        <v>43</v>
      </c>
      <c r="AA9" s="38" t="s">
        <v>43</v>
      </c>
      <c r="AB9" s="38" t="s">
        <v>43</v>
      </c>
      <c r="AC9" s="38" t="s">
        <v>43</v>
      </c>
      <c r="AD9" s="38" t="s">
        <v>43</v>
      </c>
      <c r="AE9" s="38" t="s">
        <v>43</v>
      </c>
      <c r="AF9" s="38" t="str">
        <f t="shared" si="2"/>
        <v>WO</v>
      </c>
      <c r="AG9" s="38" t="s">
        <v>43</v>
      </c>
      <c r="AH9" s="38" t="s">
        <v>43</v>
      </c>
      <c r="AI9" s="38" t="s">
        <v>43</v>
      </c>
      <c r="AJ9" s="38" t="s">
        <v>43</v>
      </c>
      <c r="AK9" s="38" t="s">
        <v>43</v>
      </c>
      <c r="AL9" s="38" t="s">
        <v>43</v>
      </c>
      <c r="AM9" s="38" t="str">
        <f t="shared" si="2"/>
        <v>WO</v>
      </c>
      <c r="AN9" s="38" t="s">
        <v>43</v>
      </c>
      <c r="AO9" s="39"/>
      <c r="AP9" s="31"/>
      <c r="AQ9" s="36"/>
      <c r="AR9" s="19">
        <v>1</v>
      </c>
      <c r="AS9" s="19">
        <v>1001</v>
      </c>
      <c r="AT9" s="19" t="str">
        <f t="shared" ref="AT9:AT28" si="3">$J$5</f>
        <v>June</v>
      </c>
      <c r="AU9" s="19" t="s">
        <v>3</v>
      </c>
      <c r="AV9" s="26">
        <f t="shared" ref="AV9:AV28" si="4">COUNTIF($K9:$AO9,"*P*")</f>
        <v>22</v>
      </c>
      <c r="AW9" s="20">
        <f t="shared" ref="AW9:AW28" si="5">COUNTIF($K9:$AO9,"*A*")</f>
        <v>1</v>
      </c>
      <c r="AX9" s="20">
        <f t="shared" ref="AX9:AX28" si="6">COUNTIF($K9:$AO9,"L")</f>
        <v>2</v>
      </c>
      <c r="AY9" s="20">
        <f t="shared" ref="AY9:AY28" si="7">$J$9</f>
        <v>5</v>
      </c>
      <c r="AZ9" s="20">
        <f t="shared" ref="AZ9:AZ28" si="8">$I$5</f>
        <v>30</v>
      </c>
      <c r="BA9" s="20">
        <f>Jun_Month[[#This Row],[Days]]-Jun_Month[[#This Row],[Absent]]</f>
        <v>29</v>
      </c>
      <c r="BB9" s="21">
        <v>10000</v>
      </c>
      <c r="BC9" s="21">
        <f>Jun_Month[[#This Row],[Salary]]/Jun_Month[[#This Row],[Days]]</f>
        <v>333.33333333333331</v>
      </c>
      <c r="BD9" s="24">
        <f>Jun_Month[[#This Row],[PerDay Salary]]*Jun_Month[[#This Row],[Absent]]</f>
        <v>333.33333333333331</v>
      </c>
      <c r="BE9" s="23">
        <f>Jun_Month[[#This Row],[Salary]]-Jun_Month[[#This Row],[Deduction]]</f>
        <v>9666.6666666666661</v>
      </c>
      <c r="BF9" s="22"/>
      <c r="BG9" s="36"/>
    </row>
    <row r="10" spans="1:59" ht="15.75" x14ac:dyDescent="0.25">
      <c r="A10"/>
      <c r="B10"/>
      <c r="C10"/>
      <c r="D10" s="29"/>
      <c r="F10" s="31"/>
      <c r="G10" s="3">
        <v>2</v>
      </c>
      <c r="H10" s="4">
        <v>1002</v>
      </c>
      <c r="I10" s="4" t="s">
        <v>4</v>
      </c>
      <c r="J10" s="38">
        <f t="shared" ref="J10:J28" si="9">COUNTIF($K$7:$AO$7,"Sun")</f>
        <v>5</v>
      </c>
      <c r="K10" s="38" t="str">
        <f t="shared" ref="K10:Y28" si="10">IF(K$7="Sun","WO","")</f>
        <v>WO</v>
      </c>
      <c r="L10" s="38" t="s">
        <v>43</v>
      </c>
      <c r="M10" s="38" t="s">
        <v>44</v>
      </c>
      <c r="N10" s="38" t="s">
        <v>43</v>
      </c>
      <c r="O10" s="38" t="s">
        <v>43</v>
      </c>
      <c r="P10" s="38" t="s">
        <v>42</v>
      </c>
      <c r="Q10" s="38" t="s">
        <v>43</v>
      </c>
      <c r="R10" s="38" t="str">
        <f t="shared" si="2"/>
        <v>WO</v>
      </c>
      <c r="S10" s="38" t="s">
        <v>43</v>
      </c>
      <c r="T10" s="38" t="s">
        <v>43</v>
      </c>
      <c r="U10" s="38" t="s">
        <v>43</v>
      </c>
      <c r="V10" s="38" t="s">
        <v>43</v>
      </c>
      <c r="W10" s="38" t="s">
        <v>43</v>
      </c>
      <c r="X10" s="38" t="s">
        <v>42</v>
      </c>
      <c r="Y10" s="38" t="str">
        <f t="shared" si="2"/>
        <v>WO</v>
      </c>
      <c r="Z10" s="38" t="s">
        <v>43</v>
      </c>
      <c r="AA10" s="38" t="s">
        <v>43</v>
      </c>
      <c r="AB10" s="38" t="s">
        <v>43</v>
      </c>
      <c r="AC10" s="38" t="s">
        <v>43</v>
      </c>
      <c r="AD10" s="38" t="s">
        <v>43</v>
      </c>
      <c r="AE10" s="38" t="s">
        <v>43</v>
      </c>
      <c r="AF10" s="38" t="str">
        <f t="shared" si="2"/>
        <v>WO</v>
      </c>
      <c r="AG10" s="38" t="s">
        <v>43</v>
      </c>
      <c r="AH10" s="38" t="s">
        <v>43</v>
      </c>
      <c r="AI10" s="38" t="s">
        <v>43</v>
      </c>
      <c r="AJ10" s="38" t="s">
        <v>43</v>
      </c>
      <c r="AK10" s="38" t="s">
        <v>43</v>
      </c>
      <c r="AL10" s="38" t="s">
        <v>43</v>
      </c>
      <c r="AM10" s="38" t="str">
        <f t="shared" si="2"/>
        <v>WO</v>
      </c>
      <c r="AN10" s="38" t="s">
        <v>43</v>
      </c>
      <c r="AO10" s="39"/>
      <c r="AP10" s="31"/>
      <c r="AQ10" s="36"/>
      <c r="AR10" s="19">
        <v>2</v>
      </c>
      <c r="AS10" s="19">
        <v>1002</v>
      </c>
      <c r="AT10" s="19" t="str">
        <f t="shared" si="3"/>
        <v>June</v>
      </c>
      <c r="AU10" s="19" t="s">
        <v>4</v>
      </c>
      <c r="AV10" s="27">
        <f t="shared" si="4"/>
        <v>22</v>
      </c>
      <c r="AW10" s="22">
        <f t="shared" si="5"/>
        <v>1</v>
      </c>
      <c r="AX10" s="22">
        <f t="shared" si="6"/>
        <v>2</v>
      </c>
      <c r="AY10" s="22">
        <f t="shared" si="7"/>
        <v>5</v>
      </c>
      <c r="AZ10" s="22">
        <f t="shared" si="8"/>
        <v>30</v>
      </c>
      <c r="BA10" s="22">
        <f>Jun_Month[[#This Row],[Days]]-Jun_Month[[#This Row],[Absent]]</f>
        <v>29</v>
      </c>
      <c r="BB10" s="23">
        <v>20000</v>
      </c>
      <c r="BC10" s="23">
        <f>Jun_Month[[#This Row],[Salary]]/Jun_Month[[#This Row],[Days]]</f>
        <v>666.66666666666663</v>
      </c>
      <c r="BD10" s="24">
        <f>Jun_Month[[#This Row],[PerDay Salary]]*Jun_Month[[#This Row],[Absent]]</f>
        <v>666.66666666666663</v>
      </c>
      <c r="BE10" s="23">
        <f>Jun_Month[[#This Row],[Salary]]-Jun_Month[[#This Row],[Deduction]]</f>
        <v>19333.333333333332</v>
      </c>
      <c r="BF10" s="22"/>
      <c r="BG10" s="36"/>
    </row>
    <row r="11" spans="1:59" ht="15.75" x14ac:dyDescent="0.25">
      <c r="A11"/>
      <c r="B11"/>
      <c r="C11"/>
      <c r="D11" s="29"/>
      <c r="F11" s="31"/>
      <c r="G11" s="3">
        <v>3</v>
      </c>
      <c r="H11" s="4">
        <v>1003</v>
      </c>
      <c r="I11" s="4" t="s">
        <v>5</v>
      </c>
      <c r="J11" s="38">
        <f t="shared" si="9"/>
        <v>5</v>
      </c>
      <c r="K11" s="38" t="str">
        <f t="shared" si="10"/>
        <v>WO</v>
      </c>
      <c r="L11" s="38" t="s">
        <v>43</v>
      </c>
      <c r="M11" s="38" t="s">
        <v>43</v>
      </c>
      <c r="N11" s="38" t="s">
        <v>44</v>
      </c>
      <c r="O11" s="38" t="s">
        <v>43</v>
      </c>
      <c r="P11" s="38" t="s">
        <v>42</v>
      </c>
      <c r="Q11" s="38" t="s">
        <v>43</v>
      </c>
      <c r="R11" s="38" t="str">
        <f t="shared" si="2"/>
        <v>WO</v>
      </c>
      <c r="S11" s="38" t="s">
        <v>43</v>
      </c>
      <c r="T11" s="38" t="s">
        <v>43</v>
      </c>
      <c r="U11" s="38" t="s">
        <v>43</v>
      </c>
      <c r="V11" s="38" t="s">
        <v>43</v>
      </c>
      <c r="W11" s="38" t="s">
        <v>43</v>
      </c>
      <c r="X11" s="38" t="s">
        <v>42</v>
      </c>
      <c r="Y11" s="38" t="str">
        <f t="shared" si="2"/>
        <v>WO</v>
      </c>
      <c r="Z11" s="38" t="s">
        <v>43</v>
      </c>
      <c r="AA11" s="38" t="s">
        <v>43</v>
      </c>
      <c r="AB11" s="38" t="s">
        <v>43</v>
      </c>
      <c r="AC11" s="38" t="s">
        <v>43</v>
      </c>
      <c r="AD11" s="38" t="s">
        <v>43</v>
      </c>
      <c r="AE11" s="38" t="s">
        <v>43</v>
      </c>
      <c r="AF11" s="38" t="str">
        <f t="shared" si="2"/>
        <v>WO</v>
      </c>
      <c r="AG11" s="38" t="s">
        <v>43</v>
      </c>
      <c r="AH11" s="38" t="s">
        <v>43</v>
      </c>
      <c r="AI11" s="38" t="s">
        <v>43</v>
      </c>
      <c r="AJ11" s="38" t="s">
        <v>43</v>
      </c>
      <c r="AK11" s="38" t="s">
        <v>43</v>
      </c>
      <c r="AL11" s="38" t="s">
        <v>43</v>
      </c>
      <c r="AM11" s="38" t="str">
        <f t="shared" si="2"/>
        <v>WO</v>
      </c>
      <c r="AN11" s="38" t="s">
        <v>43</v>
      </c>
      <c r="AO11" s="39"/>
      <c r="AP11" s="31"/>
      <c r="AQ11" s="36"/>
      <c r="AR11" s="19">
        <v>3</v>
      </c>
      <c r="AS11" s="19">
        <v>1003</v>
      </c>
      <c r="AT11" s="19" t="str">
        <f t="shared" si="3"/>
        <v>June</v>
      </c>
      <c r="AU11" s="19" t="s">
        <v>5</v>
      </c>
      <c r="AV11" s="27">
        <f t="shared" si="4"/>
        <v>22</v>
      </c>
      <c r="AW11" s="22">
        <f t="shared" si="5"/>
        <v>1</v>
      </c>
      <c r="AX11" s="22">
        <f t="shared" si="6"/>
        <v>2</v>
      </c>
      <c r="AY11" s="22">
        <f t="shared" si="7"/>
        <v>5</v>
      </c>
      <c r="AZ11" s="22">
        <f t="shared" si="8"/>
        <v>30</v>
      </c>
      <c r="BA11" s="22">
        <f>Jun_Month[[#This Row],[Days]]-Jun_Month[[#This Row],[Absent]]</f>
        <v>29</v>
      </c>
      <c r="BB11" s="23">
        <v>25000</v>
      </c>
      <c r="BC11" s="23">
        <f>Jun_Month[[#This Row],[Salary]]/Jun_Month[[#This Row],[Days]]</f>
        <v>833.33333333333337</v>
      </c>
      <c r="BD11" s="24">
        <f>Jun_Month[[#This Row],[PerDay Salary]]*Jun_Month[[#This Row],[Absent]]</f>
        <v>833.33333333333337</v>
      </c>
      <c r="BE11" s="23">
        <f>Jun_Month[[#This Row],[Salary]]-Jun_Month[[#This Row],[Deduction]]</f>
        <v>24166.666666666668</v>
      </c>
      <c r="BF11" s="22"/>
      <c r="BG11" s="36"/>
    </row>
    <row r="12" spans="1:59" ht="15.75" x14ac:dyDescent="0.25">
      <c r="A12"/>
      <c r="B12"/>
      <c r="C12"/>
      <c r="D12" s="29"/>
      <c r="F12" s="31"/>
      <c r="G12" s="3">
        <v>4</v>
      </c>
      <c r="H12" s="4">
        <v>1004</v>
      </c>
      <c r="I12" s="4" t="s">
        <v>6</v>
      </c>
      <c r="J12" s="38">
        <f t="shared" si="9"/>
        <v>5</v>
      </c>
      <c r="K12" s="38" t="str">
        <f t="shared" si="10"/>
        <v>WO</v>
      </c>
      <c r="L12" s="38" t="s">
        <v>43</v>
      </c>
      <c r="M12" s="38" t="s">
        <v>43</v>
      </c>
      <c r="N12" s="38" t="s">
        <v>43</v>
      </c>
      <c r="O12" s="38" t="s">
        <v>44</v>
      </c>
      <c r="P12" s="38" t="s">
        <v>42</v>
      </c>
      <c r="Q12" s="38" t="s">
        <v>43</v>
      </c>
      <c r="R12" s="38" t="str">
        <f t="shared" si="2"/>
        <v>WO</v>
      </c>
      <c r="S12" s="38" t="s">
        <v>43</v>
      </c>
      <c r="T12" s="38" t="s">
        <v>43</v>
      </c>
      <c r="U12" s="38" t="s">
        <v>43</v>
      </c>
      <c r="V12" s="38" t="s">
        <v>43</v>
      </c>
      <c r="W12" s="38" t="s">
        <v>43</v>
      </c>
      <c r="X12" s="38" t="s">
        <v>42</v>
      </c>
      <c r="Y12" s="38" t="str">
        <f t="shared" si="2"/>
        <v>WO</v>
      </c>
      <c r="Z12" s="38" t="s">
        <v>43</v>
      </c>
      <c r="AA12" s="38" t="s">
        <v>43</v>
      </c>
      <c r="AB12" s="38" t="s">
        <v>43</v>
      </c>
      <c r="AC12" s="38" t="s">
        <v>43</v>
      </c>
      <c r="AD12" s="38" t="s">
        <v>43</v>
      </c>
      <c r="AE12" s="38" t="s">
        <v>43</v>
      </c>
      <c r="AF12" s="38" t="str">
        <f t="shared" si="2"/>
        <v>WO</v>
      </c>
      <c r="AG12" s="38" t="s">
        <v>43</v>
      </c>
      <c r="AH12" s="38" t="s">
        <v>43</v>
      </c>
      <c r="AI12" s="38" t="s">
        <v>43</v>
      </c>
      <c r="AJ12" s="38" t="s">
        <v>43</v>
      </c>
      <c r="AK12" s="38" t="s">
        <v>43</v>
      </c>
      <c r="AL12" s="38" t="s">
        <v>43</v>
      </c>
      <c r="AM12" s="38" t="str">
        <f t="shared" si="2"/>
        <v>WO</v>
      </c>
      <c r="AN12" s="38" t="s">
        <v>44</v>
      </c>
      <c r="AO12" s="39"/>
      <c r="AP12" s="31"/>
      <c r="AQ12" s="36"/>
      <c r="AR12" s="19">
        <v>4</v>
      </c>
      <c r="AS12" s="19">
        <v>1004</v>
      </c>
      <c r="AT12" s="19" t="str">
        <f t="shared" si="3"/>
        <v>June</v>
      </c>
      <c r="AU12" s="19" t="s">
        <v>6</v>
      </c>
      <c r="AV12" s="27">
        <f t="shared" si="4"/>
        <v>21</v>
      </c>
      <c r="AW12" s="22">
        <f t="shared" si="5"/>
        <v>2</v>
      </c>
      <c r="AX12" s="22">
        <f t="shared" si="6"/>
        <v>2</v>
      </c>
      <c r="AY12" s="22">
        <f t="shared" si="7"/>
        <v>5</v>
      </c>
      <c r="AZ12" s="22">
        <f t="shared" si="8"/>
        <v>30</v>
      </c>
      <c r="BA12" s="22">
        <f>Jun_Month[[#This Row],[Days]]-Jun_Month[[#This Row],[Absent]]</f>
        <v>28</v>
      </c>
      <c r="BB12" s="23">
        <v>30000</v>
      </c>
      <c r="BC12" s="23">
        <f>Jun_Month[[#This Row],[Salary]]/Jun_Month[[#This Row],[Days]]</f>
        <v>1000</v>
      </c>
      <c r="BD12" s="24">
        <f>Jun_Month[[#This Row],[PerDay Salary]]*Jun_Month[[#This Row],[Absent]]</f>
        <v>2000</v>
      </c>
      <c r="BE12" s="23">
        <f>Jun_Month[[#This Row],[Salary]]-Jun_Month[[#This Row],[Deduction]]</f>
        <v>28000</v>
      </c>
      <c r="BF12" s="22"/>
      <c r="BG12" s="36"/>
    </row>
    <row r="13" spans="1:59" ht="15.75" x14ac:dyDescent="0.25">
      <c r="A13"/>
      <c r="B13"/>
      <c r="C13"/>
      <c r="D13" s="29"/>
      <c r="F13" s="31"/>
      <c r="G13" s="3">
        <v>5</v>
      </c>
      <c r="H13" s="4">
        <v>1005</v>
      </c>
      <c r="I13" s="4" t="s">
        <v>7</v>
      </c>
      <c r="J13" s="38">
        <f t="shared" si="9"/>
        <v>5</v>
      </c>
      <c r="K13" s="38" t="str">
        <f t="shared" si="10"/>
        <v>WO</v>
      </c>
      <c r="L13" s="38" t="s">
        <v>43</v>
      </c>
      <c r="M13" s="38" t="s">
        <v>43</v>
      </c>
      <c r="N13" s="38" t="s">
        <v>43</v>
      </c>
      <c r="O13" s="38" t="s">
        <v>43</v>
      </c>
      <c r="P13" s="38" t="s">
        <v>42</v>
      </c>
      <c r="Q13" s="38" t="s">
        <v>44</v>
      </c>
      <c r="R13" s="38" t="str">
        <f t="shared" si="2"/>
        <v>WO</v>
      </c>
      <c r="S13" s="38" t="s">
        <v>43</v>
      </c>
      <c r="T13" s="38" t="s">
        <v>43</v>
      </c>
      <c r="U13" s="38" t="s">
        <v>43</v>
      </c>
      <c r="V13" s="38" t="s">
        <v>43</v>
      </c>
      <c r="W13" s="38" t="s">
        <v>43</v>
      </c>
      <c r="X13" s="38" t="s">
        <v>42</v>
      </c>
      <c r="Y13" s="38" t="str">
        <f t="shared" si="2"/>
        <v>WO</v>
      </c>
      <c r="Z13" s="38" t="s">
        <v>43</v>
      </c>
      <c r="AA13" s="38" t="s">
        <v>43</v>
      </c>
      <c r="AB13" s="38" t="s">
        <v>43</v>
      </c>
      <c r="AC13" s="38" t="s">
        <v>43</v>
      </c>
      <c r="AD13" s="38" t="s">
        <v>43</v>
      </c>
      <c r="AE13" s="38" t="s">
        <v>43</v>
      </c>
      <c r="AF13" s="38" t="str">
        <f t="shared" si="2"/>
        <v>WO</v>
      </c>
      <c r="AG13" s="38" t="s">
        <v>43</v>
      </c>
      <c r="AH13" s="38" t="s">
        <v>43</v>
      </c>
      <c r="AI13" s="38" t="s">
        <v>43</v>
      </c>
      <c r="AJ13" s="38" t="s">
        <v>43</v>
      </c>
      <c r="AK13" s="38" t="s">
        <v>43</v>
      </c>
      <c r="AL13" s="38" t="s">
        <v>43</v>
      </c>
      <c r="AM13" s="38" t="str">
        <f t="shared" si="2"/>
        <v>WO</v>
      </c>
      <c r="AN13" s="38" t="s">
        <v>43</v>
      </c>
      <c r="AO13" s="39"/>
      <c r="AP13" s="31"/>
      <c r="AQ13" s="36"/>
      <c r="AR13" s="19">
        <v>5</v>
      </c>
      <c r="AS13" s="19">
        <v>1005</v>
      </c>
      <c r="AT13" s="19" t="str">
        <f t="shared" si="3"/>
        <v>June</v>
      </c>
      <c r="AU13" s="19" t="s">
        <v>7</v>
      </c>
      <c r="AV13" s="27">
        <f t="shared" si="4"/>
        <v>22</v>
      </c>
      <c r="AW13" s="22">
        <f t="shared" si="5"/>
        <v>1</v>
      </c>
      <c r="AX13" s="22">
        <f t="shared" si="6"/>
        <v>2</v>
      </c>
      <c r="AY13" s="22">
        <f t="shared" si="7"/>
        <v>5</v>
      </c>
      <c r="AZ13" s="22">
        <f t="shared" si="8"/>
        <v>30</v>
      </c>
      <c r="BA13" s="22">
        <f>Jun_Month[[#This Row],[Days]]-Jun_Month[[#This Row],[Absent]]</f>
        <v>29</v>
      </c>
      <c r="BB13" s="23">
        <v>45000</v>
      </c>
      <c r="BC13" s="23">
        <f>Jun_Month[[#This Row],[Salary]]/Jun_Month[[#This Row],[Days]]</f>
        <v>1500</v>
      </c>
      <c r="BD13" s="24">
        <f>Jun_Month[[#This Row],[PerDay Salary]]*Jun_Month[[#This Row],[Absent]]</f>
        <v>1500</v>
      </c>
      <c r="BE13" s="23">
        <f>Jun_Month[[#This Row],[Salary]]-Jun_Month[[#This Row],[Deduction]]</f>
        <v>43500</v>
      </c>
      <c r="BF13" s="22"/>
      <c r="BG13" s="36"/>
    </row>
    <row r="14" spans="1:59" ht="15.75" x14ac:dyDescent="0.25">
      <c r="A14"/>
      <c r="B14"/>
      <c r="C14"/>
      <c r="D14" s="29"/>
      <c r="F14" s="31"/>
      <c r="G14" s="3">
        <v>6</v>
      </c>
      <c r="H14" s="4">
        <v>1006</v>
      </c>
      <c r="I14" s="4" t="s">
        <v>8</v>
      </c>
      <c r="J14" s="38">
        <f t="shared" si="9"/>
        <v>5</v>
      </c>
      <c r="K14" s="38" t="str">
        <f t="shared" si="10"/>
        <v>WO</v>
      </c>
      <c r="L14" s="38" t="s">
        <v>43</v>
      </c>
      <c r="M14" s="38" t="s">
        <v>43</v>
      </c>
      <c r="N14" s="38" t="s">
        <v>43</v>
      </c>
      <c r="O14" s="38" t="s">
        <v>43</v>
      </c>
      <c r="P14" s="38" t="s">
        <v>42</v>
      </c>
      <c r="Q14" s="38" t="s">
        <v>43</v>
      </c>
      <c r="R14" s="38" t="str">
        <f t="shared" si="2"/>
        <v>WO</v>
      </c>
      <c r="S14" s="38" t="s">
        <v>44</v>
      </c>
      <c r="T14" s="38" t="s">
        <v>43</v>
      </c>
      <c r="U14" s="38" t="s">
        <v>43</v>
      </c>
      <c r="V14" s="38" t="s">
        <v>43</v>
      </c>
      <c r="W14" s="38" t="s">
        <v>43</v>
      </c>
      <c r="X14" s="38" t="s">
        <v>42</v>
      </c>
      <c r="Y14" s="38" t="str">
        <f t="shared" si="2"/>
        <v>WO</v>
      </c>
      <c r="Z14" s="38" t="s">
        <v>43</v>
      </c>
      <c r="AA14" s="38" t="s">
        <v>43</v>
      </c>
      <c r="AB14" s="38" t="s">
        <v>43</v>
      </c>
      <c r="AC14" s="38" t="s">
        <v>43</v>
      </c>
      <c r="AD14" s="38" t="s">
        <v>43</v>
      </c>
      <c r="AE14" s="38" t="s">
        <v>43</v>
      </c>
      <c r="AF14" s="38" t="str">
        <f t="shared" si="2"/>
        <v>WO</v>
      </c>
      <c r="AG14" s="38" t="s">
        <v>43</v>
      </c>
      <c r="AH14" s="38" t="s">
        <v>43</v>
      </c>
      <c r="AI14" s="38" t="s">
        <v>43</v>
      </c>
      <c r="AJ14" s="38" t="s">
        <v>43</v>
      </c>
      <c r="AK14" s="38" t="s">
        <v>43</v>
      </c>
      <c r="AL14" s="38" t="s">
        <v>43</v>
      </c>
      <c r="AM14" s="38" t="str">
        <f t="shared" si="2"/>
        <v>WO</v>
      </c>
      <c r="AN14" s="38" t="s">
        <v>43</v>
      </c>
      <c r="AO14" s="39"/>
      <c r="AP14" s="31"/>
      <c r="AQ14" s="36"/>
      <c r="AR14" s="19">
        <v>6</v>
      </c>
      <c r="AS14" s="19">
        <v>1006</v>
      </c>
      <c r="AT14" s="19" t="str">
        <f t="shared" si="3"/>
        <v>June</v>
      </c>
      <c r="AU14" s="19" t="s">
        <v>8</v>
      </c>
      <c r="AV14" s="27">
        <f t="shared" si="4"/>
        <v>22</v>
      </c>
      <c r="AW14" s="22">
        <f t="shared" si="5"/>
        <v>1</v>
      </c>
      <c r="AX14" s="22">
        <f t="shared" si="6"/>
        <v>2</v>
      </c>
      <c r="AY14" s="22">
        <f t="shared" si="7"/>
        <v>5</v>
      </c>
      <c r="AZ14" s="22">
        <f t="shared" si="8"/>
        <v>30</v>
      </c>
      <c r="BA14" s="22">
        <f>Jun_Month[[#This Row],[Days]]-Jun_Month[[#This Row],[Absent]]</f>
        <v>29</v>
      </c>
      <c r="BB14" s="23">
        <v>15000</v>
      </c>
      <c r="BC14" s="23">
        <f>Jun_Month[[#This Row],[Salary]]/Jun_Month[[#This Row],[Days]]</f>
        <v>500</v>
      </c>
      <c r="BD14" s="24">
        <f>Jun_Month[[#This Row],[PerDay Salary]]*Jun_Month[[#This Row],[Absent]]</f>
        <v>500</v>
      </c>
      <c r="BE14" s="23">
        <f>Jun_Month[[#This Row],[Salary]]-Jun_Month[[#This Row],[Deduction]]</f>
        <v>14500</v>
      </c>
      <c r="BF14" s="22"/>
      <c r="BG14" s="36"/>
    </row>
    <row r="15" spans="1:59" ht="15.75" x14ac:dyDescent="0.25">
      <c r="A15"/>
      <c r="B15"/>
      <c r="C15"/>
      <c r="D15" s="29"/>
      <c r="F15" s="31"/>
      <c r="G15" s="3">
        <v>7</v>
      </c>
      <c r="H15" s="4">
        <v>1007</v>
      </c>
      <c r="I15" s="4" t="s">
        <v>9</v>
      </c>
      <c r="J15" s="38">
        <f t="shared" si="9"/>
        <v>5</v>
      </c>
      <c r="K15" s="38" t="str">
        <f t="shared" si="10"/>
        <v>WO</v>
      </c>
      <c r="L15" s="38" t="s">
        <v>43</v>
      </c>
      <c r="M15" s="38" t="s">
        <v>43</v>
      </c>
      <c r="N15" s="38" t="s">
        <v>43</v>
      </c>
      <c r="O15" s="38" t="s">
        <v>43</v>
      </c>
      <c r="P15" s="38" t="s">
        <v>42</v>
      </c>
      <c r="Q15" s="38" t="s">
        <v>43</v>
      </c>
      <c r="R15" s="38" t="str">
        <f t="shared" si="2"/>
        <v>WO</v>
      </c>
      <c r="S15" s="38" t="s">
        <v>43</v>
      </c>
      <c r="T15" s="38" t="s">
        <v>44</v>
      </c>
      <c r="U15" s="38" t="s">
        <v>43</v>
      </c>
      <c r="V15" s="38" t="s">
        <v>43</v>
      </c>
      <c r="W15" s="38" t="s">
        <v>43</v>
      </c>
      <c r="X15" s="38" t="s">
        <v>42</v>
      </c>
      <c r="Y15" s="38" t="str">
        <f t="shared" si="2"/>
        <v>WO</v>
      </c>
      <c r="Z15" s="38" t="s">
        <v>43</v>
      </c>
      <c r="AA15" s="38" t="s">
        <v>43</v>
      </c>
      <c r="AB15" s="38" t="s">
        <v>43</v>
      </c>
      <c r="AC15" s="38" t="s">
        <v>43</v>
      </c>
      <c r="AD15" s="38" t="s">
        <v>43</v>
      </c>
      <c r="AE15" s="38" t="s">
        <v>43</v>
      </c>
      <c r="AF15" s="38" t="str">
        <f t="shared" si="2"/>
        <v>WO</v>
      </c>
      <c r="AG15" s="38" t="s">
        <v>43</v>
      </c>
      <c r="AH15" s="38" t="s">
        <v>43</v>
      </c>
      <c r="AI15" s="38" t="s">
        <v>43</v>
      </c>
      <c r="AJ15" s="38" t="s">
        <v>43</v>
      </c>
      <c r="AK15" s="38" t="s">
        <v>43</v>
      </c>
      <c r="AL15" s="38" t="s">
        <v>43</v>
      </c>
      <c r="AM15" s="38" t="str">
        <f t="shared" si="2"/>
        <v>WO</v>
      </c>
      <c r="AN15" s="38" t="s">
        <v>43</v>
      </c>
      <c r="AO15" s="39"/>
      <c r="AP15" s="31"/>
      <c r="AQ15" s="36"/>
      <c r="AR15" s="19">
        <v>7</v>
      </c>
      <c r="AS15" s="19">
        <v>1007</v>
      </c>
      <c r="AT15" s="19" t="str">
        <f t="shared" si="3"/>
        <v>June</v>
      </c>
      <c r="AU15" s="19" t="s">
        <v>9</v>
      </c>
      <c r="AV15" s="27">
        <f t="shared" si="4"/>
        <v>22</v>
      </c>
      <c r="AW15" s="22">
        <f t="shared" si="5"/>
        <v>1</v>
      </c>
      <c r="AX15" s="22">
        <f t="shared" si="6"/>
        <v>2</v>
      </c>
      <c r="AY15" s="22">
        <f t="shared" si="7"/>
        <v>5</v>
      </c>
      <c r="AZ15" s="22">
        <f t="shared" si="8"/>
        <v>30</v>
      </c>
      <c r="BA15" s="22">
        <f>Jun_Month[[#This Row],[Days]]-Jun_Month[[#This Row],[Absent]]</f>
        <v>29</v>
      </c>
      <c r="BB15" s="23">
        <v>62000</v>
      </c>
      <c r="BC15" s="23">
        <f>Jun_Month[[#This Row],[Salary]]/Jun_Month[[#This Row],[Days]]</f>
        <v>2066.6666666666665</v>
      </c>
      <c r="BD15" s="24">
        <f>Jun_Month[[#This Row],[PerDay Salary]]*Jun_Month[[#This Row],[Absent]]</f>
        <v>2066.6666666666665</v>
      </c>
      <c r="BE15" s="23">
        <f>Jun_Month[[#This Row],[Salary]]-Jun_Month[[#This Row],[Deduction]]</f>
        <v>59933.333333333336</v>
      </c>
      <c r="BF15" s="22"/>
      <c r="BG15" s="36"/>
    </row>
    <row r="16" spans="1:59" ht="15.75" x14ac:dyDescent="0.25">
      <c r="A16"/>
      <c r="B16"/>
      <c r="C16"/>
      <c r="D16" s="29"/>
      <c r="F16" s="31"/>
      <c r="G16" s="3">
        <v>8</v>
      </c>
      <c r="H16" s="4">
        <v>1008</v>
      </c>
      <c r="I16" s="4" t="s">
        <v>10</v>
      </c>
      <c r="J16" s="38">
        <f t="shared" si="9"/>
        <v>5</v>
      </c>
      <c r="K16" s="38" t="str">
        <f t="shared" si="10"/>
        <v>WO</v>
      </c>
      <c r="L16" s="38" t="s">
        <v>43</v>
      </c>
      <c r="M16" s="38" t="s">
        <v>43</v>
      </c>
      <c r="N16" s="38" t="s">
        <v>43</v>
      </c>
      <c r="O16" s="38" t="s">
        <v>43</v>
      </c>
      <c r="P16" s="38" t="s">
        <v>42</v>
      </c>
      <c r="Q16" s="38" t="s">
        <v>43</v>
      </c>
      <c r="R16" s="38" t="str">
        <f t="shared" si="2"/>
        <v>WO</v>
      </c>
      <c r="S16" s="38" t="s">
        <v>43</v>
      </c>
      <c r="T16" s="38" t="s">
        <v>43</v>
      </c>
      <c r="U16" s="38" t="s">
        <v>44</v>
      </c>
      <c r="V16" s="38" t="s">
        <v>43</v>
      </c>
      <c r="W16" s="38" t="s">
        <v>43</v>
      </c>
      <c r="X16" s="38" t="s">
        <v>42</v>
      </c>
      <c r="Y16" s="38" t="str">
        <f t="shared" si="2"/>
        <v>WO</v>
      </c>
      <c r="Z16" s="38" t="s">
        <v>43</v>
      </c>
      <c r="AA16" s="38" t="s">
        <v>43</v>
      </c>
      <c r="AB16" s="38" t="s">
        <v>43</v>
      </c>
      <c r="AC16" s="38" t="s">
        <v>43</v>
      </c>
      <c r="AD16" s="38" t="s">
        <v>43</v>
      </c>
      <c r="AE16" s="38" t="s">
        <v>43</v>
      </c>
      <c r="AF16" s="38" t="str">
        <f t="shared" si="2"/>
        <v>WO</v>
      </c>
      <c r="AG16" s="38" t="s">
        <v>43</v>
      </c>
      <c r="AH16" s="38" t="s">
        <v>43</v>
      </c>
      <c r="AI16" s="38" t="s">
        <v>43</v>
      </c>
      <c r="AJ16" s="38" t="s">
        <v>43</v>
      </c>
      <c r="AK16" s="38" t="s">
        <v>43</v>
      </c>
      <c r="AL16" s="38" t="s">
        <v>43</v>
      </c>
      <c r="AM16" s="38" t="str">
        <f t="shared" si="2"/>
        <v>WO</v>
      </c>
      <c r="AN16" s="38" t="s">
        <v>43</v>
      </c>
      <c r="AO16" s="39"/>
      <c r="AP16" s="31"/>
      <c r="AQ16" s="36"/>
      <c r="AR16" s="19">
        <v>8</v>
      </c>
      <c r="AS16" s="19">
        <v>1008</v>
      </c>
      <c r="AT16" s="19" t="str">
        <f t="shared" si="3"/>
        <v>June</v>
      </c>
      <c r="AU16" s="19" t="s">
        <v>10</v>
      </c>
      <c r="AV16" s="27">
        <f t="shared" si="4"/>
        <v>22</v>
      </c>
      <c r="AW16" s="22">
        <f t="shared" si="5"/>
        <v>1</v>
      </c>
      <c r="AX16" s="22">
        <f t="shared" si="6"/>
        <v>2</v>
      </c>
      <c r="AY16" s="22">
        <f t="shared" si="7"/>
        <v>5</v>
      </c>
      <c r="AZ16" s="22">
        <f t="shared" si="8"/>
        <v>30</v>
      </c>
      <c r="BA16" s="22">
        <f>Jun_Month[[#This Row],[Days]]-Jun_Month[[#This Row],[Absent]]</f>
        <v>29</v>
      </c>
      <c r="BB16" s="23">
        <v>50000</v>
      </c>
      <c r="BC16" s="23">
        <f>Jun_Month[[#This Row],[Salary]]/Jun_Month[[#This Row],[Days]]</f>
        <v>1666.6666666666667</v>
      </c>
      <c r="BD16" s="24">
        <f>Jun_Month[[#This Row],[PerDay Salary]]*Jun_Month[[#This Row],[Absent]]</f>
        <v>1666.6666666666667</v>
      </c>
      <c r="BE16" s="23">
        <f>Jun_Month[[#This Row],[Salary]]-Jun_Month[[#This Row],[Deduction]]</f>
        <v>48333.333333333336</v>
      </c>
      <c r="BF16" s="22"/>
      <c r="BG16" s="36"/>
    </row>
    <row r="17" spans="1:59" ht="15.75" x14ac:dyDescent="0.25">
      <c r="A17"/>
      <c r="B17"/>
      <c r="C17"/>
      <c r="D17" s="29"/>
      <c r="F17" s="31"/>
      <c r="G17" s="3">
        <v>9</v>
      </c>
      <c r="H17" s="4">
        <v>1009</v>
      </c>
      <c r="I17" s="4" t="s">
        <v>11</v>
      </c>
      <c r="J17" s="38">
        <f t="shared" si="9"/>
        <v>5</v>
      </c>
      <c r="K17" s="38" t="str">
        <f t="shared" si="10"/>
        <v>WO</v>
      </c>
      <c r="L17" s="38" t="s">
        <v>43</v>
      </c>
      <c r="M17" s="38" t="s">
        <v>43</v>
      </c>
      <c r="N17" s="38" t="s">
        <v>43</v>
      </c>
      <c r="O17" s="38" t="s">
        <v>43</v>
      </c>
      <c r="P17" s="38" t="s">
        <v>42</v>
      </c>
      <c r="Q17" s="38" t="s">
        <v>43</v>
      </c>
      <c r="R17" s="38" t="str">
        <f t="shared" si="2"/>
        <v>WO</v>
      </c>
      <c r="S17" s="38" t="s">
        <v>43</v>
      </c>
      <c r="T17" s="38" t="s">
        <v>43</v>
      </c>
      <c r="U17" s="38" t="s">
        <v>43</v>
      </c>
      <c r="V17" s="38" t="s">
        <v>44</v>
      </c>
      <c r="W17" s="38" t="s">
        <v>43</v>
      </c>
      <c r="X17" s="38" t="s">
        <v>42</v>
      </c>
      <c r="Y17" s="38" t="str">
        <f t="shared" si="2"/>
        <v>WO</v>
      </c>
      <c r="Z17" s="38" t="s">
        <v>43</v>
      </c>
      <c r="AA17" s="38" t="s">
        <v>43</v>
      </c>
      <c r="AB17" s="38" t="s">
        <v>43</v>
      </c>
      <c r="AC17" s="38" t="s">
        <v>43</v>
      </c>
      <c r="AD17" s="38" t="s">
        <v>43</v>
      </c>
      <c r="AE17" s="38" t="s">
        <v>43</v>
      </c>
      <c r="AF17" s="38" t="str">
        <f t="shared" ref="AF17:AM17" si="11">IF(AF$7="Sun","WO","")</f>
        <v>WO</v>
      </c>
      <c r="AG17" s="38" t="s">
        <v>43</v>
      </c>
      <c r="AH17" s="38" t="s">
        <v>43</v>
      </c>
      <c r="AI17" s="38" t="s">
        <v>43</v>
      </c>
      <c r="AJ17" s="38" t="s">
        <v>43</v>
      </c>
      <c r="AK17" s="38" t="s">
        <v>43</v>
      </c>
      <c r="AL17" s="38" t="s">
        <v>43</v>
      </c>
      <c r="AM17" s="38" t="str">
        <f t="shared" si="11"/>
        <v>WO</v>
      </c>
      <c r="AN17" s="38" t="s">
        <v>43</v>
      </c>
      <c r="AO17" s="39"/>
      <c r="AP17" s="31"/>
      <c r="AQ17" s="36"/>
      <c r="AR17" s="19">
        <v>9</v>
      </c>
      <c r="AS17" s="19">
        <v>1009</v>
      </c>
      <c r="AT17" s="19" t="str">
        <f t="shared" si="3"/>
        <v>June</v>
      </c>
      <c r="AU17" s="19" t="s">
        <v>11</v>
      </c>
      <c r="AV17" s="27">
        <f t="shared" si="4"/>
        <v>22</v>
      </c>
      <c r="AW17" s="22">
        <f t="shared" si="5"/>
        <v>1</v>
      </c>
      <c r="AX17" s="22">
        <f t="shared" si="6"/>
        <v>2</v>
      </c>
      <c r="AY17" s="22">
        <f t="shared" si="7"/>
        <v>5</v>
      </c>
      <c r="AZ17" s="22">
        <f t="shared" si="8"/>
        <v>30</v>
      </c>
      <c r="BA17" s="22">
        <f>Jun_Month[[#This Row],[Days]]-Jun_Month[[#This Row],[Absent]]</f>
        <v>29</v>
      </c>
      <c r="BB17" s="23">
        <v>25000</v>
      </c>
      <c r="BC17" s="23">
        <f>Jun_Month[[#This Row],[Salary]]/Jun_Month[[#This Row],[Days]]</f>
        <v>833.33333333333337</v>
      </c>
      <c r="BD17" s="24">
        <f>Jun_Month[[#This Row],[PerDay Salary]]*Jun_Month[[#This Row],[Absent]]</f>
        <v>833.33333333333337</v>
      </c>
      <c r="BE17" s="23">
        <f>Jun_Month[[#This Row],[Salary]]-Jun_Month[[#This Row],[Deduction]]</f>
        <v>24166.666666666668</v>
      </c>
      <c r="BF17" s="22"/>
      <c r="BG17" s="36"/>
    </row>
    <row r="18" spans="1:59" ht="15.75" x14ac:dyDescent="0.25">
      <c r="A18"/>
      <c r="B18"/>
      <c r="C18"/>
      <c r="D18" s="29"/>
      <c r="F18" s="31"/>
      <c r="G18" s="3">
        <v>10</v>
      </c>
      <c r="H18" s="4">
        <v>1010</v>
      </c>
      <c r="I18" s="4" t="s">
        <v>12</v>
      </c>
      <c r="J18" s="38">
        <f t="shared" si="9"/>
        <v>5</v>
      </c>
      <c r="K18" s="38" t="str">
        <f t="shared" si="10"/>
        <v>WO</v>
      </c>
      <c r="L18" s="38" t="s">
        <v>43</v>
      </c>
      <c r="M18" s="38" t="s">
        <v>43</v>
      </c>
      <c r="N18" s="38" t="s">
        <v>43</v>
      </c>
      <c r="O18" s="38" t="s">
        <v>43</v>
      </c>
      <c r="P18" s="38" t="s">
        <v>42</v>
      </c>
      <c r="Q18" s="38" t="s">
        <v>43</v>
      </c>
      <c r="R18" s="38" t="str">
        <f t="shared" si="10"/>
        <v>WO</v>
      </c>
      <c r="S18" s="38" t="s">
        <v>43</v>
      </c>
      <c r="T18" s="38" t="s">
        <v>43</v>
      </c>
      <c r="U18" s="38" t="s">
        <v>43</v>
      </c>
      <c r="V18" s="38" t="s">
        <v>43</v>
      </c>
      <c r="W18" s="38" t="s">
        <v>44</v>
      </c>
      <c r="X18" s="38" t="s">
        <v>42</v>
      </c>
      <c r="Y18" s="38" t="str">
        <f t="shared" si="10"/>
        <v>WO</v>
      </c>
      <c r="Z18" s="38" t="s">
        <v>43</v>
      </c>
      <c r="AA18" s="38" t="s">
        <v>43</v>
      </c>
      <c r="AB18" s="38" t="s">
        <v>43</v>
      </c>
      <c r="AC18" s="38" t="s">
        <v>43</v>
      </c>
      <c r="AD18" s="38" t="s">
        <v>43</v>
      </c>
      <c r="AE18" s="38" t="s">
        <v>43</v>
      </c>
      <c r="AF18" s="38" t="str">
        <f t="shared" ref="AF18:AM28" si="12">IF(AF$7="Sun","WO","")</f>
        <v>WO</v>
      </c>
      <c r="AG18" s="38" t="s">
        <v>43</v>
      </c>
      <c r="AH18" s="38" t="s">
        <v>43</v>
      </c>
      <c r="AI18" s="38" t="s">
        <v>43</v>
      </c>
      <c r="AJ18" s="38" t="s">
        <v>43</v>
      </c>
      <c r="AK18" s="38" t="s">
        <v>43</v>
      </c>
      <c r="AL18" s="38" t="s">
        <v>43</v>
      </c>
      <c r="AM18" s="38" t="str">
        <f t="shared" si="12"/>
        <v>WO</v>
      </c>
      <c r="AN18" s="38" t="s">
        <v>43</v>
      </c>
      <c r="AO18" s="39"/>
      <c r="AP18" s="31"/>
      <c r="AQ18" s="36"/>
      <c r="AR18" s="19">
        <v>10</v>
      </c>
      <c r="AS18" s="19">
        <v>1010</v>
      </c>
      <c r="AT18" s="19" t="str">
        <f t="shared" si="3"/>
        <v>June</v>
      </c>
      <c r="AU18" s="19" t="s">
        <v>12</v>
      </c>
      <c r="AV18" s="27">
        <f t="shared" si="4"/>
        <v>22</v>
      </c>
      <c r="AW18" s="22">
        <f t="shared" si="5"/>
        <v>1</v>
      </c>
      <c r="AX18" s="22">
        <f t="shared" si="6"/>
        <v>2</v>
      </c>
      <c r="AY18" s="22">
        <f t="shared" si="7"/>
        <v>5</v>
      </c>
      <c r="AZ18" s="22">
        <f t="shared" si="8"/>
        <v>30</v>
      </c>
      <c r="BA18" s="22">
        <f>Jun_Month[[#This Row],[Days]]-Jun_Month[[#This Row],[Absent]]</f>
        <v>29</v>
      </c>
      <c r="BB18" s="23">
        <v>45000</v>
      </c>
      <c r="BC18" s="23">
        <f>Jun_Month[[#This Row],[Salary]]/Jun_Month[[#This Row],[Days]]</f>
        <v>1500</v>
      </c>
      <c r="BD18" s="24">
        <f>Jun_Month[[#This Row],[PerDay Salary]]*Jun_Month[[#This Row],[Absent]]</f>
        <v>1500</v>
      </c>
      <c r="BE18" s="23">
        <f>Jun_Month[[#This Row],[Salary]]-Jun_Month[[#This Row],[Deduction]]</f>
        <v>43500</v>
      </c>
      <c r="BF18" s="22"/>
      <c r="BG18" s="36"/>
    </row>
    <row r="19" spans="1:59" ht="15.75" x14ac:dyDescent="0.25">
      <c r="A19"/>
      <c r="B19"/>
      <c r="C19"/>
      <c r="D19" s="29"/>
      <c r="F19" s="31"/>
      <c r="G19" s="3">
        <v>11</v>
      </c>
      <c r="H19" s="4">
        <v>1011</v>
      </c>
      <c r="I19" s="4" t="s">
        <v>13</v>
      </c>
      <c r="J19" s="38">
        <f t="shared" si="9"/>
        <v>5</v>
      </c>
      <c r="K19" s="38" t="str">
        <f t="shared" si="10"/>
        <v>WO</v>
      </c>
      <c r="L19" s="38" t="s">
        <v>43</v>
      </c>
      <c r="M19" s="38" t="s">
        <v>43</v>
      </c>
      <c r="N19" s="38" t="s">
        <v>43</v>
      </c>
      <c r="O19" s="38" t="s">
        <v>43</v>
      </c>
      <c r="P19" s="38" t="s">
        <v>42</v>
      </c>
      <c r="Q19" s="38" t="s">
        <v>43</v>
      </c>
      <c r="R19" s="38" t="str">
        <f t="shared" si="10"/>
        <v>WO</v>
      </c>
      <c r="S19" s="38" t="s">
        <v>43</v>
      </c>
      <c r="T19" s="38" t="s">
        <v>43</v>
      </c>
      <c r="U19" s="38" t="s">
        <v>43</v>
      </c>
      <c r="V19" s="38" t="s">
        <v>43</v>
      </c>
      <c r="W19" s="38" t="s">
        <v>43</v>
      </c>
      <c r="X19" s="38" t="s">
        <v>42</v>
      </c>
      <c r="Y19" s="38" t="str">
        <f t="shared" si="10"/>
        <v>WO</v>
      </c>
      <c r="Z19" s="38" t="s">
        <v>44</v>
      </c>
      <c r="AA19" s="38" t="s">
        <v>43</v>
      </c>
      <c r="AB19" s="38" t="s">
        <v>43</v>
      </c>
      <c r="AC19" s="38" t="s">
        <v>43</v>
      </c>
      <c r="AD19" s="38" t="s">
        <v>43</v>
      </c>
      <c r="AE19" s="38" t="s">
        <v>43</v>
      </c>
      <c r="AF19" s="38" t="str">
        <f t="shared" si="12"/>
        <v>WO</v>
      </c>
      <c r="AG19" s="38" t="s">
        <v>43</v>
      </c>
      <c r="AH19" s="38" t="s">
        <v>43</v>
      </c>
      <c r="AI19" s="38" t="s">
        <v>43</v>
      </c>
      <c r="AJ19" s="38" t="s">
        <v>43</v>
      </c>
      <c r="AK19" s="38" t="s">
        <v>43</v>
      </c>
      <c r="AL19" s="38" t="s">
        <v>43</v>
      </c>
      <c r="AM19" s="38" t="str">
        <f t="shared" si="12"/>
        <v>WO</v>
      </c>
      <c r="AN19" s="38" t="s">
        <v>43</v>
      </c>
      <c r="AO19" s="39"/>
      <c r="AP19" s="31"/>
      <c r="AQ19" s="36"/>
      <c r="AR19" s="19">
        <v>11</v>
      </c>
      <c r="AS19" s="19">
        <v>1011</v>
      </c>
      <c r="AT19" s="19" t="str">
        <f t="shared" si="3"/>
        <v>June</v>
      </c>
      <c r="AU19" s="19" t="s">
        <v>13</v>
      </c>
      <c r="AV19" s="27">
        <f t="shared" si="4"/>
        <v>22</v>
      </c>
      <c r="AW19" s="22">
        <f t="shared" si="5"/>
        <v>1</v>
      </c>
      <c r="AX19" s="22">
        <f t="shared" si="6"/>
        <v>2</v>
      </c>
      <c r="AY19" s="22">
        <f t="shared" si="7"/>
        <v>5</v>
      </c>
      <c r="AZ19" s="22">
        <f t="shared" si="8"/>
        <v>30</v>
      </c>
      <c r="BA19" s="22">
        <f>Jun_Month[[#This Row],[Days]]-Jun_Month[[#This Row],[Absent]]</f>
        <v>29</v>
      </c>
      <c r="BB19" s="23">
        <v>48000</v>
      </c>
      <c r="BC19" s="23">
        <f>Jun_Month[[#This Row],[Salary]]/Jun_Month[[#This Row],[Days]]</f>
        <v>1600</v>
      </c>
      <c r="BD19" s="24">
        <f>Jun_Month[[#This Row],[PerDay Salary]]*Jun_Month[[#This Row],[Absent]]</f>
        <v>1600</v>
      </c>
      <c r="BE19" s="23">
        <f>Jun_Month[[#This Row],[Salary]]-Jun_Month[[#This Row],[Deduction]]</f>
        <v>46400</v>
      </c>
      <c r="BF19" s="22"/>
      <c r="BG19" s="36"/>
    </row>
    <row r="20" spans="1:59" ht="15.75" x14ac:dyDescent="0.25">
      <c r="A20"/>
      <c r="B20"/>
      <c r="C20"/>
      <c r="D20" s="29"/>
      <c r="F20" s="31"/>
      <c r="G20" s="3">
        <v>12</v>
      </c>
      <c r="H20" s="4">
        <v>1012</v>
      </c>
      <c r="I20" s="4" t="s">
        <v>14</v>
      </c>
      <c r="J20" s="38">
        <f t="shared" si="9"/>
        <v>5</v>
      </c>
      <c r="K20" s="38" t="str">
        <f t="shared" si="10"/>
        <v>WO</v>
      </c>
      <c r="L20" s="38" t="s">
        <v>43</v>
      </c>
      <c r="M20" s="38" t="s">
        <v>43</v>
      </c>
      <c r="N20" s="38" t="s">
        <v>43</v>
      </c>
      <c r="O20" s="38" t="s">
        <v>43</v>
      </c>
      <c r="P20" s="38" t="s">
        <v>42</v>
      </c>
      <c r="Q20" s="38" t="s">
        <v>43</v>
      </c>
      <c r="R20" s="38" t="str">
        <f t="shared" si="10"/>
        <v>WO</v>
      </c>
      <c r="S20" s="38" t="s">
        <v>43</v>
      </c>
      <c r="T20" s="38" t="s">
        <v>43</v>
      </c>
      <c r="U20" s="38" t="s">
        <v>43</v>
      </c>
      <c r="V20" s="38" t="s">
        <v>43</v>
      </c>
      <c r="W20" s="38" t="s">
        <v>43</v>
      </c>
      <c r="X20" s="38" t="s">
        <v>42</v>
      </c>
      <c r="Y20" s="38" t="str">
        <f t="shared" si="10"/>
        <v>WO</v>
      </c>
      <c r="Z20" s="38" t="s">
        <v>43</v>
      </c>
      <c r="AA20" s="38" t="s">
        <v>44</v>
      </c>
      <c r="AB20" s="38" t="s">
        <v>43</v>
      </c>
      <c r="AC20" s="38" t="s">
        <v>43</v>
      </c>
      <c r="AD20" s="38" t="s">
        <v>43</v>
      </c>
      <c r="AE20" s="38" t="s">
        <v>43</v>
      </c>
      <c r="AF20" s="38" t="str">
        <f t="shared" si="12"/>
        <v>WO</v>
      </c>
      <c r="AG20" s="38" t="s">
        <v>43</v>
      </c>
      <c r="AH20" s="38" t="s">
        <v>43</v>
      </c>
      <c r="AI20" s="38" t="s">
        <v>43</v>
      </c>
      <c r="AJ20" s="38" t="s">
        <v>43</v>
      </c>
      <c r="AK20" s="38" t="s">
        <v>43</v>
      </c>
      <c r="AL20" s="38" t="s">
        <v>43</v>
      </c>
      <c r="AM20" s="38" t="str">
        <f t="shared" si="12"/>
        <v>WO</v>
      </c>
      <c r="AN20" s="38" t="s">
        <v>43</v>
      </c>
      <c r="AO20" s="39"/>
      <c r="AP20" s="31"/>
      <c r="AQ20" s="36"/>
      <c r="AR20" s="19">
        <v>12</v>
      </c>
      <c r="AS20" s="19">
        <v>1012</v>
      </c>
      <c r="AT20" s="19" t="str">
        <f t="shared" si="3"/>
        <v>June</v>
      </c>
      <c r="AU20" s="19" t="s">
        <v>14</v>
      </c>
      <c r="AV20" s="27">
        <f t="shared" si="4"/>
        <v>22</v>
      </c>
      <c r="AW20" s="22">
        <f t="shared" si="5"/>
        <v>1</v>
      </c>
      <c r="AX20" s="22">
        <f t="shared" si="6"/>
        <v>2</v>
      </c>
      <c r="AY20" s="22">
        <f t="shared" si="7"/>
        <v>5</v>
      </c>
      <c r="AZ20" s="22">
        <f t="shared" si="8"/>
        <v>30</v>
      </c>
      <c r="BA20" s="22">
        <f>Jun_Month[[#This Row],[Days]]-Jun_Month[[#This Row],[Absent]]</f>
        <v>29</v>
      </c>
      <c r="BB20" s="23">
        <v>52000</v>
      </c>
      <c r="BC20" s="23">
        <f>Jun_Month[[#This Row],[Salary]]/Jun_Month[[#This Row],[Days]]</f>
        <v>1733.3333333333333</v>
      </c>
      <c r="BD20" s="24">
        <f>Jun_Month[[#This Row],[PerDay Salary]]*Jun_Month[[#This Row],[Absent]]</f>
        <v>1733.3333333333333</v>
      </c>
      <c r="BE20" s="23">
        <f>Jun_Month[[#This Row],[Salary]]-Jun_Month[[#This Row],[Deduction]]</f>
        <v>50266.666666666664</v>
      </c>
      <c r="BF20" s="22"/>
      <c r="BG20" s="36"/>
    </row>
    <row r="21" spans="1:59" ht="15.75" x14ac:dyDescent="0.25">
      <c r="A21"/>
      <c r="B21"/>
      <c r="C21"/>
      <c r="D21" s="29"/>
      <c r="F21" s="31"/>
      <c r="G21" s="3">
        <v>13</v>
      </c>
      <c r="H21" s="4">
        <v>1013</v>
      </c>
      <c r="I21" s="4" t="s">
        <v>15</v>
      </c>
      <c r="J21" s="38">
        <f t="shared" si="9"/>
        <v>5</v>
      </c>
      <c r="K21" s="38" t="str">
        <f t="shared" si="10"/>
        <v>WO</v>
      </c>
      <c r="L21" s="38" t="s">
        <v>43</v>
      </c>
      <c r="M21" s="38" t="s">
        <v>43</v>
      </c>
      <c r="N21" s="38" t="s">
        <v>43</v>
      </c>
      <c r="O21" s="38" t="s">
        <v>43</v>
      </c>
      <c r="P21" s="38" t="s">
        <v>42</v>
      </c>
      <c r="Q21" s="38" t="s">
        <v>43</v>
      </c>
      <c r="R21" s="38" t="str">
        <f t="shared" si="10"/>
        <v>WO</v>
      </c>
      <c r="S21" s="38" t="s">
        <v>43</v>
      </c>
      <c r="T21" s="38" t="s">
        <v>43</v>
      </c>
      <c r="U21" s="38" t="s">
        <v>43</v>
      </c>
      <c r="V21" s="38" t="s">
        <v>43</v>
      </c>
      <c r="W21" s="38" t="s">
        <v>43</v>
      </c>
      <c r="X21" s="38" t="s">
        <v>42</v>
      </c>
      <c r="Y21" s="38" t="str">
        <f t="shared" si="10"/>
        <v>WO</v>
      </c>
      <c r="Z21" s="38" t="s">
        <v>43</v>
      </c>
      <c r="AA21" s="38" t="s">
        <v>43</v>
      </c>
      <c r="AB21" s="38" t="s">
        <v>44</v>
      </c>
      <c r="AC21" s="38" t="s">
        <v>43</v>
      </c>
      <c r="AD21" s="38" t="s">
        <v>43</v>
      </c>
      <c r="AE21" s="38" t="s">
        <v>43</v>
      </c>
      <c r="AF21" s="38" t="str">
        <f t="shared" si="12"/>
        <v>WO</v>
      </c>
      <c r="AG21" s="38" t="s">
        <v>43</v>
      </c>
      <c r="AH21" s="38" t="s">
        <v>43</v>
      </c>
      <c r="AI21" s="38" t="s">
        <v>43</v>
      </c>
      <c r="AJ21" s="38" t="s">
        <v>43</v>
      </c>
      <c r="AK21" s="38" t="s">
        <v>44</v>
      </c>
      <c r="AL21" s="38" t="s">
        <v>43</v>
      </c>
      <c r="AM21" s="38" t="str">
        <f t="shared" si="12"/>
        <v>WO</v>
      </c>
      <c r="AN21" s="38" t="s">
        <v>43</v>
      </c>
      <c r="AO21" s="39"/>
      <c r="AP21" s="31"/>
      <c r="AQ21" s="36"/>
      <c r="AR21" s="19">
        <v>13</v>
      </c>
      <c r="AS21" s="19">
        <v>1013</v>
      </c>
      <c r="AT21" s="19" t="str">
        <f t="shared" si="3"/>
        <v>June</v>
      </c>
      <c r="AU21" s="19" t="s">
        <v>15</v>
      </c>
      <c r="AV21" s="27">
        <f t="shared" si="4"/>
        <v>21</v>
      </c>
      <c r="AW21" s="22">
        <f t="shared" si="5"/>
        <v>2</v>
      </c>
      <c r="AX21" s="22">
        <f t="shared" si="6"/>
        <v>2</v>
      </c>
      <c r="AY21" s="22">
        <f t="shared" si="7"/>
        <v>5</v>
      </c>
      <c r="AZ21" s="22">
        <f t="shared" si="8"/>
        <v>30</v>
      </c>
      <c r="BA21" s="22">
        <f>Jun_Month[[#This Row],[Days]]-Jun_Month[[#This Row],[Absent]]</f>
        <v>28</v>
      </c>
      <c r="BB21" s="23">
        <v>42000</v>
      </c>
      <c r="BC21" s="23">
        <f>Jun_Month[[#This Row],[Salary]]/Jun_Month[[#This Row],[Days]]</f>
        <v>1400</v>
      </c>
      <c r="BD21" s="24">
        <f>Jun_Month[[#This Row],[PerDay Salary]]*Jun_Month[[#This Row],[Absent]]</f>
        <v>2800</v>
      </c>
      <c r="BE21" s="23">
        <f>Jun_Month[[#This Row],[Salary]]-Jun_Month[[#This Row],[Deduction]]</f>
        <v>39200</v>
      </c>
      <c r="BF21" s="22"/>
      <c r="BG21" s="36"/>
    </row>
    <row r="22" spans="1:59" ht="15.75" x14ac:dyDescent="0.25">
      <c r="A22"/>
      <c r="B22"/>
      <c r="C22"/>
      <c r="D22" s="29"/>
      <c r="F22" s="31"/>
      <c r="G22" s="3">
        <v>14</v>
      </c>
      <c r="H22" s="4">
        <v>1014</v>
      </c>
      <c r="I22" s="4" t="s">
        <v>16</v>
      </c>
      <c r="J22" s="38">
        <f t="shared" si="9"/>
        <v>5</v>
      </c>
      <c r="K22" s="38" t="str">
        <f t="shared" si="10"/>
        <v>WO</v>
      </c>
      <c r="L22" s="38" t="s">
        <v>43</v>
      </c>
      <c r="M22" s="38" t="s">
        <v>43</v>
      </c>
      <c r="N22" s="38" t="s">
        <v>43</v>
      </c>
      <c r="O22" s="38" t="s">
        <v>43</v>
      </c>
      <c r="P22" s="38" t="s">
        <v>42</v>
      </c>
      <c r="Q22" s="38" t="s">
        <v>43</v>
      </c>
      <c r="R22" s="38" t="str">
        <f t="shared" si="10"/>
        <v>WO</v>
      </c>
      <c r="S22" s="38" t="s">
        <v>43</v>
      </c>
      <c r="T22" s="38" t="s">
        <v>43</v>
      </c>
      <c r="U22" s="38" t="s">
        <v>43</v>
      </c>
      <c r="V22" s="38" t="s">
        <v>43</v>
      </c>
      <c r="W22" s="38" t="s">
        <v>43</v>
      </c>
      <c r="X22" s="38" t="s">
        <v>42</v>
      </c>
      <c r="Y22" s="38" t="str">
        <f t="shared" si="10"/>
        <v>WO</v>
      </c>
      <c r="Z22" s="38" t="s">
        <v>43</v>
      </c>
      <c r="AA22" s="38" t="s">
        <v>43</v>
      </c>
      <c r="AB22" s="38" t="s">
        <v>43</v>
      </c>
      <c r="AC22" s="38" t="s">
        <v>44</v>
      </c>
      <c r="AD22" s="38" t="s">
        <v>43</v>
      </c>
      <c r="AE22" s="38" t="s">
        <v>43</v>
      </c>
      <c r="AF22" s="38" t="str">
        <f t="shared" si="12"/>
        <v>WO</v>
      </c>
      <c r="AG22" s="38" t="s">
        <v>43</v>
      </c>
      <c r="AH22" s="38" t="s">
        <v>43</v>
      </c>
      <c r="AI22" s="38" t="s">
        <v>43</v>
      </c>
      <c r="AJ22" s="38" t="s">
        <v>43</v>
      </c>
      <c r="AK22" s="38" t="s">
        <v>43</v>
      </c>
      <c r="AL22" s="38" t="s">
        <v>43</v>
      </c>
      <c r="AM22" s="38" t="str">
        <f t="shared" si="12"/>
        <v>WO</v>
      </c>
      <c r="AN22" s="38" t="s">
        <v>43</v>
      </c>
      <c r="AO22" s="39"/>
      <c r="AP22" s="31"/>
      <c r="AQ22" s="36"/>
      <c r="AR22" s="19">
        <v>14</v>
      </c>
      <c r="AS22" s="19">
        <v>1014</v>
      </c>
      <c r="AT22" s="19" t="str">
        <f t="shared" si="3"/>
        <v>June</v>
      </c>
      <c r="AU22" s="19" t="s">
        <v>16</v>
      </c>
      <c r="AV22" s="27">
        <f t="shared" si="4"/>
        <v>22</v>
      </c>
      <c r="AW22" s="22">
        <f t="shared" si="5"/>
        <v>1</v>
      </c>
      <c r="AX22" s="22">
        <f t="shared" si="6"/>
        <v>2</v>
      </c>
      <c r="AY22" s="22">
        <f t="shared" si="7"/>
        <v>5</v>
      </c>
      <c r="AZ22" s="22">
        <f t="shared" si="8"/>
        <v>30</v>
      </c>
      <c r="BA22" s="22">
        <f>Jun_Month[[#This Row],[Days]]-Jun_Month[[#This Row],[Absent]]</f>
        <v>29</v>
      </c>
      <c r="BB22" s="23">
        <v>15000</v>
      </c>
      <c r="BC22" s="23">
        <f>Jun_Month[[#This Row],[Salary]]/Jun_Month[[#This Row],[Days]]</f>
        <v>500</v>
      </c>
      <c r="BD22" s="24">
        <f>Jun_Month[[#This Row],[PerDay Salary]]*Jun_Month[[#This Row],[Absent]]</f>
        <v>500</v>
      </c>
      <c r="BE22" s="23">
        <f>Jun_Month[[#This Row],[Salary]]-Jun_Month[[#This Row],[Deduction]]</f>
        <v>14500</v>
      </c>
      <c r="BF22" s="22"/>
      <c r="BG22" s="36"/>
    </row>
    <row r="23" spans="1:59" ht="15.75" x14ac:dyDescent="0.25">
      <c r="A23"/>
      <c r="B23"/>
      <c r="C23"/>
      <c r="D23" s="29"/>
      <c r="F23" s="31"/>
      <c r="G23" s="3">
        <v>15</v>
      </c>
      <c r="H23" s="4">
        <v>1015</v>
      </c>
      <c r="I23" s="4" t="s">
        <v>17</v>
      </c>
      <c r="J23" s="38">
        <f t="shared" si="9"/>
        <v>5</v>
      </c>
      <c r="K23" s="38" t="str">
        <f t="shared" si="10"/>
        <v>WO</v>
      </c>
      <c r="L23" s="38" t="s">
        <v>43</v>
      </c>
      <c r="M23" s="38" t="s">
        <v>43</v>
      </c>
      <c r="N23" s="38" t="s">
        <v>43</v>
      </c>
      <c r="O23" s="38" t="s">
        <v>43</v>
      </c>
      <c r="P23" s="38" t="s">
        <v>42</v>
      </c>
      <c r="Q23" s="38" t="s">
        <v>43</v>
      </c>
      <c r="R23" s="38" t="str">
        <f t="shared" si="10"/>
        <v>WO</v>
      </c>
      <c r="S23" s="38" t="s">
        <v>43</v>
      </c>
      <c r="T23" s="38" t="s">
        <v>43</v>
      </c>
      <c r="U23" s="38" t="s">
        <v>43</v>
      </c>
      <c r="V23" s="38" t="s">
        <v>43</v>
      </c>
      <c r="W23" s="38" t="s">
        <v>43</v>
      </c>
      <c r="X23" s="38" t="s">
        <v>42</v>
      </c>
      <c r="Y23" s="38" t="str">
        <f t="shared" si="10"/>
        <v>WO</v>
      </c>
      <c r="Z23" s="38" t="s">
        <v>43</v>
      </c>
      <c r="AA23" s="38" t="s">
        <v>43</v>
      </c>
      <c r="AB23" s="38" t="s">
        <v>43</v>
      </c>
      <c r="AC23" s="38" t="s">
        <v>43</v>
      </c>
      <c r="AD23" s="38" t="s">
        <v>44</v>
      </c>
      <c r="AE23" s="38" t="s">
        <v>43</v>
      </c>
      <c r="AF23" s="38" t="str">
        <f t="shared" si="12"/>
        <v>WO</v>
      </c>
      <c r="AG23" s="38" t="s">
        <v>43</v>
      </c>
      <c r="AH23" s="38" t="s">
        <v>43</v>
      </c>
      <c r="AI23" s="38" t="s">
        <v>43</v>
      </c>
      <c r="AJ23" s="38" t="s">
        <v>43</v>
      </c>
      <c r="AK23" s="38" t="s">
        <v>43</v>
      </c>
      <c r="AL23" s="38" t="s">
        <v>43</v>
      </c>
      <c r="AM23" s="38" t="str">
        <f t="shared" si="12"/>
        <v>WO</v>
      </c>
      <c r="AN23" s="38" t="s">
        <v>43</v>
      </c>
      <c r="AO23" s="39"/>
      <c r="AP23" s="31"/>
      <c r="AQ23" s="36"/>
      <c r="AR23" s="19">
        <v>15</v>
      </c>
      <c r="AS23" s="19">
        <v>1015</v>
      </c>
      <c r="AT23" s="19" t="str">
        <f t="shared" si="3"/>
        <v>June</v>
      </c>
      <c r="AU23" s="19" t="s">
        <v>17</v>
      </c>
      <c r="AV23" s="27">
        <f t="shared" si="4"/>
        <v>22</v>
      </c>
      <c r="AW23" s="22">
        <f t="shared" si="5"/>
        <v>1</v>
      </c>
      <c r="AX23" s="22">
        <f t="shared" si="6"/>
        <v>2</v>
      </c>
      <c r="AY23" s="22">
        <f t="shared" si="7"/>
        <v>5</v>
      </c>
      <c r="AZ23" s="22">
        <f t="shared" si="8"/>
        <v>30</v>
      </c>
      <c r="BA23" s="22">
        <f>Jun_Month[[#This Row],[Days]]-Jun_Month[[#This Row],[Absent]]</f>
        <v>29</v>
      </c>
      <c r="BB23" s="23">
        <v>46000</v>
      </c>
      <c r="BC23" s="23">
        <f>Jun_Month[[#This Row],[Salary]]/Jun_Month[[#This Row],[Days]]</f>
        <v>1533.3333333333333</v>
      </c>
      <c r="BD23" s="24">
        <f>Jun_Month[[#This Row],[PerDay Salary]]*Jun_Month[[#This Row],[Absent]]</f>
        <v>1533.3333333333333</v>
      </c>
      <c r="BE23" s="23">
        <f>Jun_Month[[#This Row],[Salary]]-Jun_Month[[#This Row],[Deduction]]</f>
        <v>44466.666666666664</v>
      </c>
      <c r="BF23" s="22"/>
      <c r="BG23" s="36"/>
    </row>
    <row r="24" spans="1:59" ht="15.75" x14ac:dyDescent="0.25">
      <c r="A24"/>
      <c r="B24"/>
      <c r="C24"/>
      <c r="D24" s="29"/>
      <c r="F24" s="31"/>
      <c r="G24" s="3">
        <v>16</v>
      </c>
      <c r="H24" s="4">
        <v>1016</v>
      </c>
      <c r="I24" s="4" t="s">
        <v>18</v>
      </c>
      <c r="J24" s="38">
        <f t="shared" si="9"/>
        <v>5</v>
      </c>
      <c r="K24" s="38" t="str">
        <f t="shared" si="10"/>
        <v>WO</v>
      </c>
      <c r="L24" s="38" t="s">
        <v>43</v>
      </c>
      <c r="M24" s="38" t="s">
        <v>43</v>
      </c>
      <c r="N24" s="38" t="s">
        <v>43</v>
      </c>
      <c r="O24" s="38" t="s">
        <v>43</v>
      </c>
      <c r="P24" s="38" t="s">
        <v>42</v>
      </c>
      <c r="Q24" s="38" t="s">
        <v>43</v>
      </c>
      <c r="R24" s="38" t="str">
        <f t="shared" si="10"/>
        <v>WO</v>
      </c>
      <c r="S24" s="38" t="s">
        <v>43</v>
      </c>
      <c r="T24" s="38" t="s">
        <v>43</v>
      </c>
      <c r="U24" s="38" t="s">
        <v>43</v>
      </c>
      <c r="V24" s="38" t="s">
        <v>43</v>
      </c>
      <c r="W24" s="38" t="s">
        <v>43</v>
      </c>
      <c r="X24" s="38" t="s">
        <v>42</v>
      </c>
      <c r="Y24" s="38" t="str">
        <f t="shared" si="10"/>
        <v>WO</v>
      </c>
      <c r="Z24" s="38" t="s">
        <v>43</v>
      </c>
      <c r="AA24" s="38" t="s">
        <v>43</v>
      </c>
      <c r="AB24" s="38" t="s">
        <v>43</v>
      </c>
      <c r="AC24" s="38" t="s">
        <v>43</v>
      </c>
      <c r="AD24" s="38" t="s">
        <v>43</v>
      </c>
      <c r="AE24" s="38" t="s">
        <v>44</v>
      </c>
      <c r="AF24" s="38" t="str">
        <f t="shared" si="12"/>
        <v>WO</v>
      </c>
      <c r="AG24" s="38" t="s">
        <v>43</v>
      </c>
      <c r="AH24" s="38" t="s">
        <v>43</v>
      </c>
      <c r="AI24" s="38" t="s">
        <v>43</v>
      </c>
      <c r="AJ24" s="38" t="s">
        <v>43</v>
      </c>
      <c r="AK24" s="38" t="s">
        <v>43</v>
      </c>
      <c r="AL24" s="38" t="s">
        <v>44</v>
      </c>
      <c r="AM24" s="38" t="str">
        <f t="shared" si="12"/>
        <v>WO</v>
      </c>
      <c r="AN24" s="38" t="s">
        <v>43</v>
      </c>
      <c r="AO24" s="39"/>
      <c r="AP24" s="31"/>
      <c r="AQ24" s="36"/>
      <c r="AR24" s="19">
        <v>16</v>
      </c>
      <c r="AS24" s="19">
        <v>1016</v>
      </c>
      <c r="AT24" s="19" t="str">
        <f t="shared" si="3"/>
        <v>June</v>
      </c>
      <c r="AU24" s="19" t="s">
        <v>18</v>
      </c>
      <c r="AV24" s="27">
        <f t="shared" si="4"/>
        <v>21</v>
      </c>
      <c r="AW24" s="22">
        <f t="shared" si="5"/>
        <v>2</v>
      </c>
      <c r="AX24" s="22">
        <f t="shared" si="6"/>
        <v>2</v>
      </c>
      <c r="AY24" s="22">
        <f t="shared" si="7"/>
        <v>5</v>
      </c>
      <c r="AZ24" s="22">
        <f t="shared" si="8"/>
        <v>30</v>
      </c>
      <c r="BA24" s="22">
        <f>Jun_Month[[#This Row],[Days]]-Jun_Month[[#This Row],[Absent]]</f>
        <v>28</v>
      </c>
      <c r="BB24" s="23">
        <v>52000</v>
      </c>
      <c r="BC24" s="23">
        <f>Jun_Month[[#This Row],[Salary]]/Jun_Month[[#This Row],[Days]]</f>
        <v>1733.3333333333333</v>
      </c>
      <c r="BD24" s="24">
        <f>Jun_Month[[#This Row],[PerDay Salary]]*Jun_Month[[#This Row],[Absent]]</f>
        <v>3466.6666666666665</v>
      </c>
      <c r="BE24" s="23">
        <f>Jun_Month[[#This Row],[Salary]]-Jun_Month[[#This Row],[Deduction]]</f>
        <v>48533.333333333336</v>
      </c>
      <c r="BF24" s="22"/>
      <c r="BG24" s="36"/>
    </row>
    <row r="25" spans="1:59" ht="15.75" x14ac:dyDescent="0.25">
      <c r="A25"/>
      <c r="B25"/>
      <c r="C25"/>
      <c r="D25" s="29"/>
      <c r="F25" s="31"/>
      <c r="G25" s="3">
        <v>17</v>
      </c>
      <c r="H25" s="4">
        <v>1017</v>
      </c>
      <c r="I25" s="4" t="s">
        <v>19</v>
      </c>
      <c r="J25" s="38">
        <f t="shared" si="9"/>
        <v>5</v>
      </c>
      <c r="K25" s="38" t="str">
        <f t="shared" si="10"/>
        <v>WO</v>
      </c>
      <c r="L25" s="38" t="s">
        <v>43</v>
      </c>
      <c r="M25" s="38" t="s">
        <v>43</v>
      </c>
      <c r="N25" s="38" t="s">
        <v>43</v>
      </c>
      <c r="O25" s="38" t="s">
        <v>43</v>
      </c>
      <c r="P25" s="38" t="s">
        <v>42</v>
      </c>
      <c r="Q25" s="38" t="s">
        <v>43</v>
      </c>
      <c r="R25" s="38" t="str">
        <f t="shared" si="10"/>
        <v>WO</v>
      </c>
      <c r="S25" s="38" t="s">
        <v>43</v>
      </c>
      <c r="T25" s="38" t="s">
        <v>43</v>
      </c>
      <c r="U25" s="38" t="s">
        <v>43</v>
      </c>
      <c r="V25" s="38" t="s">
        <v>43</v>
      </c>
      <c r="W25" s="38" t="s">
        <v>43</v>
      </c>
      <c r="X25" s="38" t="s">
        <v>42</v>
      </c>
      <c r="Y25" s="38" t="str">
        <f t="shared" si="10"/>
        <v>WO</v>
      </c>
      <c r="Z25" s="38" t="s">
        <v>43</v>
      </c>
      <c r="AA25" s="38" t="s">
        <v>43</v>
      </c>
      <c r="AB25" s="38" t="s">
        <v>43</v>
      </c>
      <c r="AC25" s="38" t="s">
        <v>43</v>
      </c>
      <c r="AD25" s="38" t="s">
        <v>43</v>
      </c>
      <c r="AE25" s="38" t="s">
        <v>43</v>
      </c>
      <c r="AF25" s="38" t="str">
        <f t="shared" si="12"/>
        <v>WO</v>
      </c>
      <c r="AG25" s="38" t="s">
        <v>44</v>
      </c>
      <c r="AH25" s="38" t="s">
        <v>43</v>
      </c>
      <c r="AI25" s="38" t="s">
        <v>43</v>
      </c>
      <c r="AJ25" s="38" t="s">
        <v>43</v>
      </c>
      <c r="AK25" s="38" t="s">
        <v>43</v>
      </c>
      <c r="AL25" s="38" t="s">
        <v>43</v>
      </c>
      <c r="AM25" s="38" t="str">
        <f t="shared" si="12"/>
        <v>WO</v>
      </c>
      <c r="AN25" s="38" t="s">
        <v>43</v>
      </c>
      <c r="AO25" s="39"/>
      <c r="AP25" s="31"/>
      <c r="AQ25" s="36"/>
      <c r="AR25" s="19">
        <v>17</v>
      </c>
      <c r="AS25" s="19">
        <v>1017</v>
      </c>
      <c r="AT25" s="19" t="str">
        <f t="shared" si="3"/>
        <v>June</v>
      </c>
      <c r="AU25" s="19" t="s">
        <v>19</v>
      </c>
      <c r="AV25" s="27">
        <f t="shared" si="4"/>
        <v>22</v>
      </c>
      <c r="AW25" s="22">
        <f t="shared" si="5"/>
        <v>1</v>
      </c>
      <c r="AX25" s="22">
        <f t="shared" si="6"/>
        <v>2</v>
      </c>
      <c r="AY25" s="22">
        <f t="shared" si="7"/>
        <v>5</v>
      </c>
      <c r="AZ25" s="22">
        <f t="shared" si="8"/>
        <v>30</v>
      </c>
      <c r="BA25" s="22">
        <f>Jun_Month[[#This Row],[Days]]-Jun_Month[[#This Row],[Absent]]</f>
        <v>29</v>
      </c>
      <c r="BB25" s="23">
        <v>42000</v>
      </c>
      <c r="BC25" s="23">
        <f>Jun_Month[[#This Row],[Salary]]/Jun_Month[[#This Row],[Days]]</f>
        <v>1400</v>
      </c>
      <c r="BD25" s="24">
        <f>Jun_Month[[#This Row],[PerDay Salary]]*Jun_Month[[#This Row],[Absent]]</f>
        <v>1400</v>
      </c>
      <c r="BE25" s="23">
        <f>Jun_Month[[#This Row],[Salary]]-Jun_Month[[#This Row],[Deduction]]</f>
        <v>40600</v>
      </c>
      <c r="BF25" s="22"/>
      <c r="BG25" s="36"/>
    </row>
    <row r="26" spans="1:59" ht="15.75" x14ac:dyDescent="0.25">
      <c r="A26"/>
      <c r="B26"/>
      <c r="C26"/>
      <c r="D26" s="29"/>
      <c r="F26" s="31"/>
      <c r="G26" s="3">
        <v>18</v>
      </c>
      <c r="H26" s="4">
        <v>1018</v>
      </c>
      <c r="I26" s="4" t="s">
        <v>20</v>
      </c>
      <c r="J26" s="38">
        <f t="shared" si="9"/>
        <v>5</v>
      </c>
      <c r="K26" s="38" t="str">
        <f t="shared" si="10"/>
        <v>WO</v>
      </c>
      <c r="L26" s="38" t="s">
        <v>43</v>
      </c>
      <c r="M26" s="38" t="s">
        <v>43</v>
      </c>
      <c r="N26" s="38" t="s">
        <v>43</v>
      </c>
      <c r="O26" s="38" t="s">
        <v>43</v>
      </c>
      <c r="P26" s="38" t="s">
        <v>42</v>
      </c>
      <c r="Q26" s="38" t="s">
        <v>43</v>
      </c>
      <c r="R26" s="38" t="str">
        <f t="shared" si="10"/>
        <v>WO</v>
      </c>
      <c r="S26" s="38" t="s">
        <v>43</v>
      </c>
      <c r="T26" s="38" t="s">
        <v>43</v>
      </c>
      <c r="U26" s="38" t="s">
        <v>43</v>
      </c>
      <c r="V26" s="38" t="s">
        <v>43</v>
      </c>
      <c r="W26" s="38" t="s">
        <v>43</v>
      </c>
      <c r="X26" s="38" t="s">
        <v>42</v>
      </c>
      <c r="Y26" s="38" t="str">
        <f t="shared" si="10"/>
        <v>WO</v>
      </c>
      <c r="Z26" s="38" t="s">
        <v>43</v>
      </c>
      <c r="AA26" s="38" t="s">
        <v>43</v>
      </c>
      <c r="AB26" s="38" t="s">
        <v>43</v>
      </c>
      <c r="AC26" s="38" t="s">
        <v>43</v>
      </c>
      <c r="AD26" s="38" t="s">
        <v>43</v>
      </c>
      <c r="AE26" s="38" t="s">
        <v>43</v>
      </c>
      <c r="AF26" s="38" t="str">
        <f t="shared" si="12"/>
        <v>WO</v>
      </c>
      <c r="AG26" s="38" t="s">
        <v>43</v>
      </c>
      <c r="AH26" s="38" t="s">
        <v>44</v>
      </c>
      <c r="AI26" s="38" t="s">
        <v>43</v>
      </c>
      <c r="AJ26" s="38" t="s">
        <v>43</v>
      </c>
      <c r="AK26" s="38" t="s">
        <v>43</v>
      </c>
      <c r="AL26" s="38" t="s">
        <v>43</v>
      </c>
      <c r="AM26" s="38" t="str">
        <f t="shared" si="12"/>
        <v>WO</v>
      </c>
      <c r="AN26" s="38" t="s">
        <v>43</v>
      </c>
      <c r="AO26" s="39"/>
      <c r="AP26" s="31"/>
      <c r="AQ26" s="36"/>
      <c r="AR26" s="19">
        <v>18</v>
      </c>
      <c r="AS26" s="19">
        <v>1018</v>
      </c>
      <c r="AT26" s="19" t="str">
        <f t="shared" si="3"/>
        <v>June</v>
      </c>
      <c r="AU26" s="19" t="s">
        <v>20</v>
      </c>
      <c r="AV26" s="27">
        <f t="shared" si="4"/>
        <v>22</v>
      </c>
      <c r="AW26" s="22">
        <f t="shared" si="5"/>
        <v>1</v>
      </c>
      <c r="AX26" s="22">
        <f t="shared" si="6"/>
        <v>2</v>
      </c>
      <c r="AY26" s="22">
        <f t="shared" si="7"/>
        <v>5</v>
      </c>
      <c r="AZ26" s="22">
        <f t="shared" si="8"/>
        <v>30</v>
      </c>
      <c r="BA26" s="22">
        <f>Jun_Month[[#This Row],[Days]]-Jun_Month[[#This Row],[Absent]]</f>
        <v>29</v>
      </c>
      <c r="BB26" s="23">
        <v>62000</v>
      </c>
      <c r="BC26" s="23">
        <f>Jun_Month[[#This Row],[Salary]]/Jun_Month[[#This Row],[Days]]</f>
        <v>2066.6666666666665</v>
      </c>
      <c r="BD26" s="24">
        <f>Jun_Month[[#This Row],[PerDay Salary]]*Jun_Month[[#This Row],[Absent]]</f>
        <v>2066.6666666666665</v>
      </c>
      <c r="BE26" s="23">
        <f>Jun_Month[[#This Row],[Salary]]-Jun_Month[[#This Row],[Deduction]]</f>
        <v>59933.333333333336</v>
      </c>
      <c r="BF26" s="22"/>
      <c r="BG26" s="36"/>
    </row>
    <row r="27" spans="1:59" ht="15.75" x14ac:dyDescent="0.25">
      <c r="A27"/>
      <c r="B27"/>
      <c r="C27"/>
      <c r="D27" s="29"/>
      <c r="F27" s="31"/>
      <c r="G27" s="3">
        <v>19</v>
      </c>
      <c r="H27" s="4">
        <v>1019</v>
      </c>
      <c r="I27" s="4" t="s">
        <v>21</v>
      </c>
      <c r="J27" s="38">
        <f t="shared" si="9"/>
        <v>5</v>
      </c>
      <c r="K27" s="38" t="str">
        <f t="shared" si="10"/>
        <v>WO</v>
      </c>
      <c r="L27" s="38" t="s">
        <v>43</v>
      </c>
      <c r="M27" s="38" t="s">
        <v>43</v>
      </c>
      <c r="N27" s="38" t="s">
        <v>43</v>
      </c>
      <c r="O27" s="38" t="s">
        <v>43</v>
      </c>
      <c r="P27" s="38" t="s">
        <v>42</v>
      </c>
      <c r="Q27" s="38" t="s">
        <v>43</v>
      </c>
      <c r="R27" s="38" t="str">
        <f t="shared" si="10"/>
        <v>WO</v>
      </c>
      <c r="S27" s="38" t="s">
        <v>43</v>
      </c>
      <c r="T27" s="38" t="s">
        <v>43</v>
      </c>
      <c r="U27" s="38" t="s">
        <v>43</v>
      </c>
      <c r="V27" s="38" t="s">
        <v>43</v>
      </c>
      <c r="W27" s="38" t="s">
        <v>43</v>
      </c>
      <c r="X27" s="38" t="s">
        <v>42</v>
      </c>
      <c r="Y27" s="38" t="str">
        <f t="shared" si="10"/>
        <v>WO</v>
      </c>
      <c r="Z27" s="38" t="s">
        <v>43</v>
      </c>
      <c r="AA27" s="38" t="s">
        <v>43</v>
      </c>
      <c r="AB27" s="38" t="s">
        <v>43</v>
      </c>
      <c r="AC27" s="38" t="s">
        <v>43</v>
      </c>
      <c r="AD27" s="38" t="s">
        <v>43</v>
      </c>
      <c r="AE27" s="38" t="s">
        <v>43</v>
      </c>
      <c r="AF27" s="38" t="str">
        <f t="shared" si="12"/>
        <v>WO</v>
      </c>
      <c r="AG27" s="38" t="s">
        <v>43</v>
      </c>
      <c r="AH27" s="38" t="s">
        <v>43</v>
      </c>
      <c r="AI27" s="38" t="s">
        <v>44</v>
      </c>
      <c r="AJ27" s="38" t="s">
        <v>43</v>
      </c>
      <c r="AK27" s="38" t="s">
        <v>43</v>
      </c>
      <c r="AL27" s="38" t="s">
        <v>43</v>
      </c>
      <c r="AM27" s="38" t="str">
        <f t="shared" si="12"/>
        <v>WO</v>
      </c>
      <c r="AN27" s="38" t="s">
        <v>43</v>
      </c>
      <c r="AO27" s="39"/>
      <c r="AP27" s="31"/>
      <c r="AQ27" s="36"/>
      <c r="AR27" s="19">
        <v>19</v>
      </c>
      <c r="AS27" s="19">
        <v>1019</v>
      </c>
      <c r="AT27" s="19" t="str">
        <f t="shared" si="3"/>
        <v>June</v>
      </c>
      <c r="AU27" s="19" t="s">
        <v>21</v>
      </c>
      <c r="AV27" s="27">
        <f t="shared" si="4"/>
        <v>22</v>
      </c>
      <c r="AW27" s="22">
        <f t="shared" si="5"/>
        <v>1</v>
      </c>
      <c r="AX27" s="22">
        <f t="shared" si="6"/>
        <v>2</v>
      </c>
      <c r="AY27" s="22">
        <f t="shared" si="7"/>
        <v>5</v>
      </c>
      <c r="AZ27" s="22">
        <f t="shared" si="8"/>
        <v>30</v>
      </c>
      <c r="BA27" s="22">
        <f>Jun_Month[[#This Row],[Days]]-Jun_Month[[#This Row],[Absent]]</f>
        <v>29</v>
      </c>
      <c r="BB27" s="23">
        <v>41000</v>
      </c>
      <c r="BC27" s="23">
        <f>Jun_Month[[#This Row],[Salary]]/Jun_Month[[#This Row],[Days]]</f>
        <v>1366.6666666666667</v>
      </c>
      <c r="BD27" s="24">
        <f>Jun_Month[[#This Row],[PerDay Salary]]*Jun_Month[[#This Row],[Absent]]</f>
        <v>1366.6666666666667</v>
      </c>
      <c r="BE27" s="23">
        <f>Jun_Month[[#This Row],[Salary]]-Jun_Month[[#This Row],[Deduction]]</f>
        <v>39633.333333333336</v>
      </c>
      <c r="BF27" s="22"/>
      <c r="BG27" s="36"/>
    </row>
    <row r="28" spans="1:59" ht="16.5" thickBot="1" x14ac:dyDescent="0.3">
      <c r="A28"/>
      <c r="B28"/>
      <c r="C28"/>
      <c r="D28" s="29"/>
      <c r="F28" s="31"/>
      <c r="G28" s="6">
        <v>20</v>
      </c>
      <c r="H28" s="7">
        <v>1020</v>
      </c>
      <c r="I28" s="7" t="s">
        <v>22</v>
      </c>
      <c r="J28" s="41">
        <f t="shared" si="9"/>
        <v>5</v>
      </c>
      <c r="K28" s="41" t="str">
        <f t="shared" si="10"/>
        <v>WO</v>
      </c>
      <c r="L28" s="41" t="s">
        <v>43</v>
      </c>
      <c r="M28" s="41" t="s">
        <v>43</v>
      </c>
      <c r="N28" s="41" t="s">
        <v>43</v>
      </c>
      <c r="O28" s="41" t="s">
        <v>43</v>
      </c>
      <c r="P28" s="41" t="s">
        <v>42</v>
      </c>
      <c r="Q28" s="41" t="s">
        <v>43</v>
      </c>
      <c r="R28" s="41" t="str">
        <f t="shared" si="10"/>
        <v>WO</v>
      </c>
      <c r="S28" s="41" t="s">
        <v>43</v>
      </c>
      <c r="T28" s="41" t="s">
        <v>43</v>
      </c>
      <c r="U28" s="41" t="s">
        <v>43</v>
      </c>
      <c r="V28" s="41" t="s">
        <v>43</v>
      </c>
      <c r="W28" s="41" t="s">
        <v>43</v>
      </c>
      <c r="X28" s="41" t="s">
        <v>42</v>
      </c>
      <c r="Y28" s="41" t="str">
        <f t="shared" si="10"/>
        <v>WO</v>
      </c>
      <c r="Z28" s="41" t="s">
        <v>43</v>
      </c>
      <c r="AA28" s="41" t="s">
        <v>43</v>
      </c>
      <c r="AB28" s="41" t="s">
        <v>43</v>
      </c>
      <c r="AC28" s="41" t="s">
        <v>43</v>
      </c>
      <c r="AD28" s="41" t="s">
        <v>43</v>
      </c>
      <c r="AE28" s="41" t="s">
        <v>43</v>
      </c>
      <c r="AF28" s="41" t="str">
        <f t="shared" si="12"/>
        <v>WO</v>
      </c>
      <c r="AG28" s="41" t="s">
        <v>43</v>
      </c>
      <c r="AH28" s="41" t="s">
        <v>43</v>
      </c>
      <c r="AI28" s="41" t="s">
        <v>43</v>
      </c>
      <c r="AJ28" s="41" t="s">
        <v>44</v>
      </c>
      <c r="AK28" s="41" t="s">
        <v>43</v>
      </c>
      <c r="AL28" s="41" t="s">
        <v>43</v>
      </c>
      <c r="AM28" s="41" t="str">
        <f t="shared" si="12"/>
        <v>WO</v>
      </c>
      <c r="AN28" s="41" t="s">
        <v>43</v>
      </c>
      <c r="AO28" s="42"/>
      <c r="AP28" s="31"/>
      <c r="AQ28" s="36"/>
      <c r="AR28" s="19">
        <v>20</v>
      </c>
      <c r="AS28" s="19">
        <v>1020</v>
      </c>
      <c r="AT28" s="19" t="str">
        <f t="shared" si="3"/>
        <v>June</v>
      </c>
      <c r="AU28" s="19" t="s">
        <v>22</v>
      </c>
      <c r="AV28" s="27">
        <f t="shared" si="4"/>
        <v>22</v>
      </c>
      <c r="AW28" s="22">
        <f t="shared" si="5"/>
        <v>1</v>
      </c>
      <c r="AX28" s="22">
        <f t="shared" si="6"/>
        <v>2</v>
      </c>
      <c r="AY28" s="22">
        <f t="shared" si="7"/>
        <v>5</v>
      </c>
      <c r="AZ28" s="22">
        <f t="shared" si="8"/>
        <v>30</v>
      </c>
      <c r="BA28" s="22">
        <f>Jun_Month[[#This Row],[Days]]-Jun_Month[[#This Row],[Absent]]</f>
        <v>29</v>
      </c>
      <c r="BB28" s="23">
        <v>30000</v>
      </c>
      <c r="BC28" s="23">
        <f>Jun_Month[[#This Row],[Salary]]/Jun_Month[[#This Row],[Days]]</f>
        <v>1000</v>
      </c>
      <c r="BD28" s="24">
        <f>Jun_Month[[#This Row],[PerDay Salary]]*Jun_Month[[#This Row],[Absent]]</f>
        <v>1000</v>
      </c>
      <c r="BE28" s="23">
        <f>Jun_Month[[#This Row],[Salary]]-Jun_Month[[#This Row],[Deduction]]</f>
        <v>29000</v>
      </c>
      <c r="BF28" s="22"/>
      <c r="BG28" s="36"/>
    </row>
    <row r="29" spans="1:59" ht="15.75" thickTop="1" x14ac:dyDescent="0.25">
      <c r="A29"/>
      <c r="B29"/>
      <c r="C29"/>
      <c r="D29" s="29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x14ac:dyDescent="0.25">
      <c r="D30" s="29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</row>
    <row r="31" spans="1:59" x14ac:dyDescent="0.25">
      <c r="D31" s="29"/>
    </row>
    <row r="32" spans="1:59" x14ac:dyDescent="0.25">
      <c r="D32" s="29"/>
    </row>
    <row r="33" spans="4:4" x14ac:dyDescent="0.25">
      <c r="D33" s="29"/>
    </row>
    <row r="34" spans="4:4" x14ac:dyDescent="0.25">
      <c r="D34" s="29"/>
    </row>
    <row r="35" spans="4:4" x14ac:dyDescent="0.25">
      <c r="D35" s="29"/>
    </row>
    <row r="36" spans="4:4" x14ac:dyDescent="0.25">
      <c r="D36" s="29"/>
    </row>
    <row r="37" spans="4:4" x14ac:dyDescent="0.25">
      <c r="D37" s="29"/>
    </row>
    <row r="38" spans="4:4" x14ac:dyDescent="0.25">
      <c r="D38" s="29"/>
    </row>
    <row r="39" spans="4:4" x14ac:dyDescent="0.25">
      <c r="D39" s="29"/>
    </row>
    <row r="40" spans="4:4" x14ac:dyDescent="0.25">
      <c r="D40" s="29"/>
    </row>
    <row r="41" spans="4:4" x14ac:dyDescent="0.25">
      <c r="D41" s="29"/>
    </row>
    <row r="42" spans="4:4" x14ac:dyDescent="0.25">
      <c r="D42" s="29"/>
    </row>
    <row r="43" spans="4:4" x14ac:dyDescent="0.25">
      <c r="D43" s="29"/>
    </row>
    <row r="44" spans="4:4" x14ac:dyDescent="0.25">
      <c r="D44" s="29"/>
    </row>
    <row r="45" spans="4:4" x14ac:dyDescent="0.25">
      <c r="D45" s="29"/>
    </row>
    <row r="46" spans="4:4" x14ac:dyDescent="0.25">
      <c r="D46" s="29"/>
    </row>
    <row r="47" spans="4:4" x14ac:dyDescent="0.25">
      <c r="D47" s="29"/>
    </row>
    <row r="48" spans="4:4" x14ac:dyDescent="0.25">
      <c r="D48" s="29"/>
    </row>
  </sheetData>
  <mergeCells count="1">
    <mergeCell ref="G7:I7"/>
  </mergeCells>
  <conditionalFormatting sqref="K9:AO28">
    <cfRule type="containsText" dxfId="167" priority="1" operator="containsText" text="L">
      <formula>NOT(ISERROR(SEARCH("L",K9)))</formula>
    </cfRule>
    <cfRule type="containsText" dxfId="166" priority="2" operator="containsText" text="A">
      <formula>NOT(ISERROR(SEARCH("A",K9)))</formula>
    </cfRule>
    <cfRule type="containsText" dxfId="165" priority="3" operator="containsText" text="P">
      <formula>NOT(ISERROR(SEARCH("P",K9)))</formula>
    </cfRule>
    <cfRule type="containsText" dxfId="164" priority="4" operator="containsText" text="WO">
      <formula>NOT(ISERROR(SEARCH("WO",K9)))</formula>
    </cfRule>
    <cfRule type="containsText" dxfId="163" priority="5" operator="containsText" text="WO">
      <formula>NOT(ISERROR(SEARCH("WO",K9)))</formula>
    </cfRule>
  </conditionalFormatting>
  <dataValidations count="1">
    <dataValidation type="list" allowBlank="1" showInputMessage="1" showErrorMessage="1" sqref="AG9:AL28 S9:X28 AN9:AO28 Z9:AE28 L9:Q28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Jun!AV9:AY9</xm:f>
              <xm:sqref>BF9</xm:sqref>
            </x14:sparkline>
            <x14:sparkline>
              <xm:f>Jun!AV10:AY10</xm:f>
              <xm:sqref>BF10</xm:sqref>
            </x14:sparkline>
            <x14:sparkline>
              <xm:f>Jun!AV11:AY11</xm:f>
              <xm:sqref>BF11</xm:sqref>
            </x14:sparkline>
            <x14:sparkline>
              <xm:f>Jun!AV12:AY12</xm:f>
              <xm:sqref>BF12</xm:sqref>
            </x14:sparkline>
            <x14:sparkline>
              <xm:f>Jun!AV13:AY13</xm:f>
              <xm:sqref>BF13</xm:sqref>
            </x14:sparkline>
            <x14:sparkline>
              <xm:f>Jun!AV14:AY14</xm:f>
              <xm:sqref>BF14</xm:sqref>
            </x14:sparkline>
            <x14:sparkline>
              <xm:f>Jun!AV15:AY15</xm:f>
              <xm:sqref>BF15</xm:sqref>
            </x14:sparkline>
            <x14:sparkline>
              <xm:f>Jun!AV16:AY16</xm:f>
              <xm:sqref>BF16</xm:sqref>
            </x14:sparkline>
            <x14:sparkline>
              <xm:f>Jun!AV17:AY17</xm:f>
              <xm:sqref>BF17</xm:sqref>
            </x14:sparkline>
            <x14:sparkline>
              <xm:f>Jun!AV18:AY18</xm:f>
              <xm:sqref>BF18</xm:sqref>
            </x14:sparkline>
            <x14:sparkline>
              <xm:f>Jun!AV19:AY19</xm:f>
              <xm:sqref>BF19</xm:sqref>
            </x14:sparkline>
            <x14:sparkline>
              <xm:f>Jun!AV20:AY20</xm:f>
              <xm:sqref>BF20</xm:sqref>
            </x14:sparkline>
            <x14:sparkline>
              <xm:f>Jun!AV21:AY21</xm:f>
              <xm:sqref>BF21</xm:sqref>
            </x14:sparkline>
            <x14:sparkline>
              <xm:f>Jun!AV22:AY22</xm:f>
              <xm:sqref>BF22</xm:sqref>
            </x14:sparkline>
            <x14:sparkline>
              <xm:f>Jun!AV23:AY23</xm:f>
              <xm:sqref>BF23</xm:sqref>
            </x14:sparkline>
            <x14:sparkline>
              <xm:f>Jun!AV24:AY24</xm:f>
              <xm:sqref>BF24</xm:sqref>
            </x14:sparkline>
            <x14:sparkline>
              <xm:f>Jun!AV25:AY25</xm:f>
              <xm:sqref>BF25</xm:sqref>
            </x14:sparkline>
            <x14:sparkline>
              <xm:f>Jun!AV26:AY26</xm:f>
              <xm:sqref>BF26</xm:sqref>
            </x14:sparkline>
            <x14:sparkline>
              <xm:f>Jun!AV27:AY27</xm:f>
              <xm:sqref>BF27</xm:sqref>
            </x14:sparkline>
            <x14:sparkline>
              <xm:f>Jun!AV28:AY28</xm:f>
              <xm:sqref>BF28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zoomScale="70" zoomScaleNormal="70" workbookViewId="0">
      <selection activeCell="H6" sqref="H6"/>
    </sheetView>
  </sheetViews>
  <sheetFormatPr defaultRowHeight="15" x14ac:dyDescent="0.25"/>
  <cols>
    <col min="1" max="3" width="9.140625" style="29"/>
    <col min="5" max="6" width="9.140625" style="29"/>
    <col min="7" max="7" width="9.140625" style="29" customWidth="1"/>
    <col min="8" max="8" width="13.140625" style="29" bestFit="1" customWidth="1"/>
    <col min="9" max="9" width="22.42578125" style="29" bestFit="1" customWidth="1"/>
    <col min="10" max="10" width="10" style="29" bestFit="1" customWidth="1"/>
    <col min="11" max="11" width="5.7109375" style="29" customWidth="1"/>
    <col min="12" max="12" width="4.85546875" style="29" customWidth="1"/>
    <col min="13" max="13" width="4.85546875" style="29" bestFit="1" customWidth="1"/>
    <col min="14" max="14" width="4.28515625" style="29" customWidth="1"/>
    <col min="15" max="15" width="4.85546875" style="29" customWidth="1"/>
    <col min="16" max="16" width="5.5703125" style="29" customWidth="1"/>
    <col min="17" max="17" width="4.85546875" style="29" customWidth="1"/>
    <col min="18" max="18" width="5.7109375" style="29" customWidth="1"/>
    <col min="19" max="19" width="4.85546875" style="29" customWidth="1"/>
    <col min="20" max="20" width="3.7109375" style="29" customWidth="1"/>
    <col min="21" max="21" width="4.28515625" style="29" customWidth="1"/>
    <col min="22" max="22" width="4.85546875" style="29" customWidth="1"/>
    <col min="23" max="23" width="5.5703125" style="29" customWidth="1"/>
    <col min="24" max="24" width="4.85546875" style="29" customWidth="1"/>
    <col min="25" max="25" width="5.7109375" style="29" customWidth="1"/>
    <col min="26" max="26" width="4.85546875" style="29" customWidth="1"/>
    <col min="27" max="27" width="3.7109375" style="29" customWidth="1"/>
    <col min="28" max="28" width="4.28515625" style="29" customWidth="1"/>
    <col min="29" max="29" width="4.85546875" style="29" customWidth="1"/>
    <col min="30" max="30" width="5.5703125" style="29" customWidth="1"/>
    <col min="31" max="31" width="4.85546875" style="29" customWidth="1"/>
    <col min="32" max="32" width="5.7109375" style="29" customWidth="1"/>
    <col min="33" max="33" width="4.85546875" style="29" customWidth="1"/>
    <col min="34" max="34" width="4.85546875" style="29" bestFit="1" customWidth="1"/>
    <col min="35" max="35" width="4.28515625" style="29" customWidth="1"/>
    <col min="36" max="36" width="4.85546875" style="29" customWidth="1"/>
    <col min="37" max="37" width="5.5703125" style="29" customWidth="1"/>
    <col min="38" max="38" width="4.85546875" style="29" customWidth="1"/>
    <col min="39" max="39" width="5.7109375" style="29" customWidth="1"/>
    <col min="40" max="40" width="4.85546875" style="29" customWidth="1"/>
    <col min="41" max="41" width="3.7109375" style="29" customWidth="1"/>
    <col min="42" max="43" width="9.140625" style="29"/>
    <col min="44" max="44" width="7.28515625" style="29" customWidth="1"/>
    <col min="45" max="46" width="14.140625" style="29" customWidth="1"/>
    <col min="47" max="47" width="17.85546875" style="29" customWidth="1"/>
    <col min="48" max="48" width="9.85546875" style="29" customWidth="1"/>
    <col min="49" max="49" width="9.28515625" style="29" customWidth="1"/>
    <col min="50" max="50" width="9.140625" style="29"/>
    <col min="51" max="51" width="11.85546875" style="29" customWidth="1"/>
    <col min="52" max="52" width="9.140625" style="29"/>
    <col min="53" max="53" width="12" style="29" customWidth="1"/>
    <col min="54" max="54" width="12.42578125" style="29" bestFit="1" customWidth="1"/>
    <col min="55" max="55" width="15.7109375" style="29" customWidth="1"/>
    <col min="56" max="56" width="12.140625" style="29" customWidth="1"/>
    <col min="57" max="57" width="13.7109375" style="29" customWidth="1"/>
    <col min="58" max="58" width="15.5703125" style="29" bestFit="1" customWidth="1"/>
    <col min="59" max="16384" width="9.140625" style="29"/>
  </cols>
  <sheetData>
    <row r="1" spans="1:59" x14ac:dyDescent="0.25">
      <c r="A1"/>
      <c r="B1"/>
      <c r="C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25">
      <c r="A2"/>
      <c r="B2"/>
      <c r="C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25">
      <c r="A3"/>
      <c r="B3"/>
      <c r="C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25">
      <c r="A4"/>
      <c r="B4"/>
      <c r="C4"/>
      <c r="D4" s="29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/>
      <c r="B5"/>
      <c r="C5"/>
      <c r="D5" s="29"/>
      <c r="F5" s="43"/>
      <c r="G5" s="43" t="s">
        <v>27</v>
      </c>
      <c r="H5" s="44">
        <v>45839</v>
      </c>
      <c r="I5" s="43">
        <f>(DATEDIF($H$5,$L$5,"D"))+1</f>
        <v>31</v>
      </c>
      <c r="J5" s="43" t="str">
        <f>TEXT(H5,"MMMM")</f>
        <v>July</v>
      </c>
      <c r="K5" s="43" t="s">
        <v>28</v>
      </c>
      <c r="L5" s="44">
        <f>EOMONTH(H5,0)</f>
        <v>45869</v>
      </c>
      <c r="M5" s="43"/>
      <c r="BD5" s="30"/>
    </row>
    <row r="6" spans="1:59" ht="15.75" thickBot="1" x14ac:dyDescent="0.3">
      <c r="A6"/>
      <c r="B6"/>
      <c r="C6"/>
      <c r="D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16.5" thickTop="1" x14ac:dyDescent="0.25">
      <c r="A7"/>
      <c r="B7"/>
      <c r="C7"/>
      <c r="D7" s="29"/>
      <c r="F7" s="31"/>
      <c r="G7" s="56" t="s">
        <v>30</v>
      </c>
      <c r="H7" s="57"/>
      <c r="I7" s="58"/>
      <c r="J7" s="15" t="s">
        <v>29</v>
      </c>
      <c r="K7" s="16" t="str">
        <f>TEXT(K8,"DDD")</f>
        <v>Tue</v>
      </c>
      <c r="L7" s="16" t="str">
        <f t="shared" ref="L7:AO7" si="0">TEXT(L8,"DDD")</f>
        <v>Wed</v>
      </c>
      <c r="M7" s="16" t="str">
        <f t="shared" si="0"/>
        <v>Thu</v>
      </c>
      <c r="N7" s="16" t="str">
        <f t="shared" si="0"/>
        <v>Fri</v>
      </c>
      <c r="O7" s="16" t="str">
        <f t="shared" si="0"/>
        <v>Sat</v>
      </c>
      <c r="P7" s="16" t="str">
        <f t="shared" si="0"/>
        <v>Sun</v>
      </c>
      <c r="Q7" s="16" t="str">
        <f t="shared" si="0"/>
        <v>Mon</v>
      </c>
      <c r="R7" s="16" t="str">
        <f t="shared" si="0"/>
        <v>Tue</v>
      </c>
      <c r="S7" s="16" t="str">
        <f t="shared" si="0"/>
        <v>Wed</v>
      </c>
      <c r="T7" s="16" t="str">
        <f t="shared" si="0"/>
        <v>Thu</v>
      </c>
      <c r="U7" s="16" t="str">
        <f t="shared" si="0"/>
        <v>Fri</v>
      </c>
      <c r="V7" s="16" t="str">
        <f t="shared" si="0"/>
        <v>Sat</v>
      </c>
      <c r="W7" s="16" t="str">
        <f t="shared" si="0"/>
        <v>Sun</v>
      </c>
      <c r="X7" s="16" t="str">
        <f t="shared" si="0"/>
        <v>Mon</v>
      </c>
      <c r="Y7" s="16" t="str">
        <f t="shared" si="0"/>
        <v>Tue</v>
      </c>
      <c r="Z7" s="16" t="str">
        <f t="shared" si="0"/>
        <v>Wed</v>
      </c>
      <c r="AA7" s="16" t="str">
        <f t="shared" si="0"/>
        <v>Thu</v>
      </c>
      <c r="AB7" s="16" t="str">
        <f t="shared" si="0"/>
        <v>Fri</v>
      </c>
      <c r="AC7" s="16" t="str">
        <f t="shared" si="0"/>
        <v>Sat</v>
      </c>
      <c r="AD7" s="16" t="str">
        <f t="shared" si="0"/>
        <v>Sun</v>
      </c>
      <c r="AE7" s="16" t="str">
        <f t="shared" si="0"/>
        <v>Mon</v>
      </c>
      <c r="AF7" s="16" t="str">
        <f t="shared" si="0"/>
        <v>Tue</v>
      </c>
      <c r="AG7" s="16" t="str">
        <f t="shared" si="0"/>
        <v>Wed</v>
      </c>
      <c r="AH7" s="16" t="str">
        <f t="shared" si="0"/>
        <v>Thu</v>
      </c>
      <c r="AI7" s="16" t="str">
        <f t="shared" si="0"/>
        <v>Fri</v>
      </c>
      <c r="AJ7" s="16" t="str">
        <f t="shared" si="0"/>
        <v>Sat</v>
      </c>
      <c r="AK7" s="16" t="str">
        <f t="shared" si="0"/>
        <v>Sun</v>
      </c>
      <c r="AL7" s="16" t="str">
        <f t="shared" si="0"/>
        <v>Mon</v>
      </c>
      <c r="AM7" s="16" t="str">
        <f t="shared" si="0"/>
        <v>Tue</v>
      </c>
      <c r="AN7" s="16" t="str">
        <f t="shared" si="0"/>
        <v>Wed</v>
      </c>
      <c r="AO7" s="17" t="str">
        <f t="shared" si="0"/>
        <v>Thu</v>
      </c>
      <c r="AP7" s="31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/>
      <c r="B8"/>
      <c r="C8"/>
      <c r="D8" s="29"/>
      <c r="F8" s="31"/>
      <c r="G8" s="9" t="s">
        <v>23</v>
      </c>
      <c r="H8" s="10" t="s">
        <v>24</v>
      </c>
      <c r="I8" s="11" t="s">
        <v>25</v>
      </c>
      <c r="J8" s="12" t="s">
        <v>26</v>
      </c>
      <c r="K8" s="13">
        <f>H5</f>
        <v>45839</v>
      </c>
      <c r="L8" s="13">
        <f>IF(K8&lt;$L$5,K8+1,"")</f>
        <v>45840</v>
      </c>
      <c r="M8" s="13">
        <f t="shared" ref="M8:AO8" si="1">IF(L8&lt;$L$5,L8+1,"")</f>
        <v>45841</v>
      </c>
      <c r="N8" s="13">
        <f t="shared" si="1"/>
        <v>45842</v>
      </c>
      <c r="O8" s="13">
        <f t="shared" si="1"/>
        <v>45843</v>
      </c>
      <c r="P8" s="13">
        <f t="shared" si="1"/>
        <v>45844</v>
      </c>
      <c r="Q8" s="13">
        <f t="shared" si="1"/>
        <v>45845</v>
      </c>
      <c r="R8" s="13">
        <f t="shared" si="1"/>
        <v>45846</v>
      </c>
      <c r="S8" s="13">
        <f t="shared" si="1"/>
        <v>45847</v>
      </c>
      <c r="T8" s="13">
        <f t="shared" si="1"/>
        <v>45848</v>
      </c>
      <c r="U8" s="13">
        <f t="shared" si="1"/>
        <v>45849</v>
      </c>
      <c r="V8" s="13">
        <f t="shared" si="1"/>
        <v>45850</v>
      </c>
      <c r="W8" s="13">
        <f t="shared" si="1"/>
        <v>45851</v>
      </c>
      <c r="X8" s="13">
        <f t="shared" si="1"/>
        <v>45852</v>
      </c>
      <c r="Y8" s="13">
        <f t="shared" si="1"/>
        <v>45853</v>
      </c>
      <c r="Z8" s="13">
        <f t="shared" si="1"/>
        <v>45854</v>
      </c>
      <c r="AA8" s="13">
        <f t="shared" si="1"/>
        <v>45855</v>
      </c>
      <c r="AB8" s="13">
        <f t="shared" si="1"/>
        <v>45856</v>
      </c>
      <c r="AC8" s="13">
        <f t="shared" si="1"/>
        <v>45857</v>
      </c>
      <c r="AD8" s="13">
        <f t="shared" si="1"/>
        <v>45858</v>
      </c>
      <c r="AE8" s="13">
        <f t="shared" si="1"/>
        <v>45859</v>
      </c>
      <c r="AF8" s="13">
        <f t="shared" si="1"/>
        <v>45860</v>
      </c>
      <c r="AG8" s="13">
        <f t="shared" si="1"/>
        <v>45861</v>
      </c>
      <c r="AH8" s="13">
        <f t="shared" si="1"/>
        <v>45862</v>
      </c>
      <c r="AI8" s="13">
        <f t="shared" si="1"/>
        <v>45863</v>
      </c>
      <c r="AJ8" s="13">
        <f t="shared" si="1"/>
        <v>45864</v>
      </c>
      <c r="AK8" s="13">
        <f t="shared" si="1"/>
        <v>45865</v>
      </c>
      <c r="AL8" s="13">
        <f t="shared" si="1"/>
        <v>45866</v>
      </c>
      <c r="AM8" s="13">
        <f t="shared" si="1"/>
        <v>45867</v>
      </c>
      <c r="AN8" s="13">
        <f t="shared" si="1"/>
        <v>45868</v>
      </c>
      <c r="AO8" s="14">
        <f t="shared" si="1"/>
        <v>45869</v>
      </c>
      <c r="AP8" s="32"/>
      <c r="AQ8" s="35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36"/>
    </row>
    <row r="9" spans="1:59" ht="16.5" thickTop="1" x14ac:dyDescent="0.25">
      <c r="A9"/>
      <c r="B9"/>
      <c r="C9"/>
      <c r="D9" s="29"/>
      <c r="F9" s="31"/>
      <c r="G9" s="3">
        <v>1</v>
      </c>
      <c r="H9" s="4">
        <v>1001</v>
      </c>
      <c r="I9" s="5" t="s">
        <v>3</v>
      </c>
      <c r="J9" s="37">
        <f>COUNTIF($K$7:$AO$7,"Sun")</f>
        <v>4</v>
      </c>
      <c r="K9" s="38" t="s">
        <v>43</v>
      </c>
      <c r="L9" s="38" t="s">
        <v>43</v>
      </c>
      <c r="M9" s="38" t="s">
        <v>43</v>
      </c>
      <c r="N9" s="38" t="s">
        <v>43</v>
      </c>
      <c r="O9" s="38" t="s">
        <v>43</v>
      </c>
      <c r="P9" s="38" t="str">
        <f t="shared" ref="P9:AK17" si="2">IF(P$7="Sun","WO","")</f>
        <v>WO</v>
      </c>
      <c r="Q9" s="38" t="s">
        <v>43</v>
      </c>
      <c r="R9" s="38" t="s">
        <v>43</v>
      </c>
      <c r="S9" s="38" t="s">
        <v>43</v>
      </c>
      <c r="T9" s="38" t="s">
        <v>43</v>
      </c>
      <c r="U9" s="38" t="s">
        <v>43</v>
      </c>
      <c r="V9" s="38" t="s">
        <v>42</v>
      </c>
      <c r="W9" s="38" t="str">
        <f t="shared" si="2"/>
        <v>WO</v>
      </c>
      <c r="X9" s="38" t="s">
        <v>43</v>
      </c>
      <c r="Y9" s="38" t="s">
        <v>43</v>
      </c>
      <c r="Z9" s="38" t="s">
        <v>43</v>
      </c>
      <c r="AA9" s="38" t="s">
        <v>43</v>
      </c>
      <c r="AB9" s="38" t="s">
        <v>42</v>
      </c>
      <c r="AC9" s="38" t="s">
        <v>43</v>
      </c>
      <c r="AD9" s="38" t="str">
        <f t="shared" si="2"/>
        <v>WO</v>
      </c>
      <c r="AE9" s="38" t="s">
        <v>43</v>
      </c>
      <c r="AF9" s="38" t="s">
        <v>43</v>
      </c>
      <c r="AG9" s="38" t="s">
        <v>43</v>
      </c>
      <c r="AH9" s="38" t="s">
        <v>43</v>
      </c>
      <c r="AI9" s="38" t="s">
        <v>44</v>
      </c>
      <c r="AJ9" s="38" t="s">
        <v>43</v>
      </c>
      <c r="AK9" s="38" t="str">
        <f t="shared" si="2"/>
        <v>WO</v>
      </c>
      <c r="AL9" s="38" t="s">
        <v>43</v>
      </c>
      <c r="AM9" s="38" t="s">
        <v>42</v>
      </c>
      <c r="AN9" s="38" t="s">
        <v>43</v>
      </c>
      <c r="AO9" s="39" t="s">
        <v>43</v>
      </c>
      <c r="AP9" s="31"/>
      <c r="AQ9" s="36"/>
      <c r="AR9" s="19">
        <v>1</v>
      </c>
      <c r="AS9" s="19">
        <v>1001</v>
      </c>
      <c r="AT9" s="19" t="str">
        <f t="shared" ref="AT9:AT28" si="3">$J$5</f>
        <v>July</v>
      </c>
      <c r="AU9" s="19" t="s">
        <v>3</v>
      </c>
      <c r="AV9" s="26">
        <f t="shared" ref="AV9:AV28" si="4">COUNTIF($K9:$AO9,"*P*")</f>
        <v>23</v>
      </c>
      <c r="AW9" s="20">
        <f t="shared" ref="AW9:AW28" si="5">COUNTIF($K9:$AO9,"*A*")</f>
        <v>1</v>
      </c>
      <c r="AX9" s="20">
        <f t="shared" ref="AX9:AX28" si="6">COUNTIF($K9:$AO9,"L")</f>
        <v>3</v>
      </c>
      <c r="AY9" s="20">
        <f t="shared" ref="AY9:AY28" si="7">$J$9</f>
        <v>4</v>
      </c>
      <c r="AZ9" s="20">
        <f t="shared" ref="AZ9:AZ28" si="8">$I$5</f>
        <v>31</v>
      </c>
      <c r="BA9" s="20">
        <f>Jul_Month[[#This Row],[Days]]-Jul_Month[[#This Row],[Absent]]</f>
        <v>30</v>
      </c>
      <c r="BB9" s="21">
        <v>10000</v>
      </c>
      <c r="BC9" s="21">
        <f>Jul_Month[[#This Row],[Salary]]/Jul_Month[[#This Row],[Days]]</f>
        <v>322.58064516129031</v>
      </c>
      <c r="BD9" s="24">
        <f>Jul_Month[[#This Row],[PerDay Salary]]*Jul_Month[[#This Row],[Absent]]</f>
        <v>322.58064516129031</v>
      </c>
      <c r="BE9" s="23">
        <f>Jul_Month[[#This Row],[Salary]]-Jul_Month[[#This Row],[Deduction]]</f>
        <v>9677.4193548387102</v>
      </c>
      <c r="BF9" s="22"/>
      <c r="BG9" s="36"/>
    </row>
    <row r="10" spans="1:59" ht="15.75" x14ac:dyDescent="0.25">
      <c r="A10"/>
      <c r="B10"/>
      <c r="C10"/>
      <c r="D10" s="29"/>
      <c r="F10" s="31"/>
      <c r="G10" s="3">
        <v>2</v>
      </c>
      <c r="H10" s="4">
        <v>1002</v>
      </c>
      <c r="I10" s="5" t="s">
        <v>4</v>
      </c>
      <c r="J10" s="37">
        <f t="shared" ref="J10:J28" si="9">COUNTIF($K$7:$AO$7,"Sun")</f>
        <v>4</v>
      </c>
      <c r="K10" s="38" t="s">
        <v>43</v>
      </c>
      <c r="L10" s="38" t="s">
        <v>43</v>
      </c>
      <c r="M10" s="38" t="s">
        <v>43</v>
      </c>
      <c r="N10" s="38" t="s">
        <v>43</v>
      </c>
      <c r="O10" s="38" t="s">
        <v>43</v>
      </c>
      <c r="P10" s="38" t="str">
        <f t="shared" si="2"/>
        <v>WO</v>
      </c>
      <c r="Q10" s="38" t="s">
        <v>43</v>
      </c>
      <c r="R10" s="38" t="s">
        <v>43</v>
      </c>
      <c r="S10" s="38" t="s">
        <v>43</v>
      </c>
      <c r="T10" s="38" t="s">
        <v>43</v>
      </c>
      <c r="U10" s="38" t="s">
        <v>43</v>
      </c>
      <c r="V10" s="38" t="s">
        <v>42</v>
      </c>
      <c r="W10" s="38" t="str">
        <f t="shared" si="2"/>
        <v>WO</v>
      </c>
      <c r="X10" s="38" t="s">
        <v>43</v>
      </c>
      <c r="Y10" s="38" t="s">
        <v>43</v>
      </c>
      <c r="Z10" s="38" t="s">
        <v>43</v>
      </c>
      <c r="AA10" s="38" t="s">
        <v>43</v>
      </c>
      <c r="AB10" s="38" t="s">
        <v>42</v>
      </c>
      <c r="AC10" s="38" t="s">
        <v>43</v>
      </c>
      <c r="AD10" s="38" t="str">
        <f t="shared" si="2"/>
        <v>WO</v>
      </c>
      <c r="AE10" s="38" t="s">
        <v>43</v>
      </c>
      <c r="AF10" s="38" t="s">
        <v>43</v>
      </c>
      <c r="AG10" s="38" t="s">
        <v>43</v>
      </c>
      <c r="AH10" s="38" t="s">
        <v>44</v>
      </c>
      <c r="AI10" s="38" t="s">
        <v>43</v>
      </c>
      <c r="AJ10" s="38" t="s">
        <v>43</v>
      </c>
      <c r="AK10" s="38" t="str">
        <f t="shared" si="2"/>
        <v>WO</v>
      </c>
      <c r="AL10" s="38" t="s">
        <v>43</v>
      </c>
      <c r="AM10" s="38" t="s">
        <v>42</v>
      </c>
      <c r="AN10" s="38" t="s">
        <v>43</v>
      </c>
      <c r="AO10" s="39" t="s">
        <v>43</v>
      </c>
      <c r="AP10" s="31"/>
      <c r="AQ10" s="36"/>
      <c r="AR10" s="19">
        <v>2</v>
      </c>
      <c r="AS10" s="19">
        <v>1002</v>
      </c>
      <c r="AT10" s="19" t="str">
        <f t="shared" si="3"/>
        <v>July</v>
      </c>
      <c r="AU10" s="19" t="s">
        <v>4</v>
      </c>
      <c r="AV10" s="27">
        <f t="shared" si="4"/>
        <v>23</v>
      </c>
      <c r="AW10" s="22">
        <f t="shared" si="5"/>
        <v>1</v>
      </c>
      <c r="AX10" s="22">
        <f t="shared" si="6"/>
        <v>3</v>
      </c>
      <c r="AY10" s="22">
        <f t="shared" si="7"/>
        <v>4</v>
      </c>
      <c r="AZ10" s="22">
        <f t="shared" si="8"/>
        <v>31</v>
      </c>
      <c r="BA10" s="22">
        <f>Jul_Month[[#This Row],[Days]]-Jul_Month[[#This Row],[Absent]]</f>
        <v>30</v>
      </c>
      <c r="BB10" s="23">
        <v>20000</v>
      </c>
      <c r="BC10" s="23">
        <f>Jul_Month[[#This Row],[Salary]]/Jul_Month[[#This Row],[Days]]</f>
        <v>645.16129032258061</v>
      </c>
      <c r="BD10" s="24">
        <f>Jul_Month[[#This Row],[PerDay Salary]]*Jul_Month[[#This Row],[Absent]]</f>
        <v>645.16129032258061</v>
      </c>
      <c r="BE10" s="23">
        <f>Jul_Month[[#This Row],[Salary]]-Jul_Month[[#This Row],[Deduction]]</f>
        <v>19354.83870967742</v>
      </c>
      <c r="BF10" s="22"/>
      <c r="BG10" s="36"/>
    </row>
    <row r="11" spans="1:59" ht="15.75" x14ac:dyDescent="0.25">
      <c r="A11"/>
      <c r="B11"/>
      <c r="C11"/>
      <c r="D11" s="29"/>
      <c r="F11" s="31"/>
      <c r="G11" s="3">
        <v>3</v>
      </c>
      <c r="H11" s="4">
        <v>1003</v>
      </c>
      <c r="I11" s="5" t="s">
        <v>5</v>
      </c>
      <c r="J11" s="37">
        <f t="shared" si="9"/>
        <v>4</v>
      </c>
      <c r="K11" s="38" t="s">
        <v>43</v>
      </c>
      <c r="L11" s="38" t="s">
        <v>43</v>
      </c>
      <c r="M11" s="38" t="s">
        <v>43</v>
      </c>
      <c r="N11" s="38" t="s">
        <v>43</v>
      </c>
      <c r="O11" s="38" t="s">
        <v>43</v>
      </c>
      <c r="P11" s="38" t="str">
        <f t="shared" si="2"/>
        <v>WO</v>
      </c>
      <c r="Q11" s="38" t="s">
        <v>43</v>
      </c>
      <c r="R11" s="38" t="s">
        <v>43</v>
      </c>
      <c r="S11" s="38" t="s">
        <v>43</v>
      </c>
      <c r="T11" s="38" t="s">
        <v>43</v>
      </c>
      <c r="U11" s="38" t="s">
        <v>43</v>
      </c>
      <c r="V11" s="38" t="s">
        <v>42</v>
      </c>
      <c r="W11" s="38" t="str">
        <f t="shared" si="2"/>
        <v>WO</v>
      </c>
      <c r="X11" s="38" t="s">
        <v>43</v>
      </c>
      <c r="Y11" s="38" t="s">
        <v>43</v>
      </c>
      <c r="Z11" s="38" t="s">
        <v>43</v>
      </c>
      <c r="AA11" s="38" t="s">
        <v>43</v>
      </c>
      <c r="AB11" s="38" t="s">
        <v>42</v>
      </c>
      <c r="AC11" s="38" t="s">
        <v>43</v>
      </c>
      <c r="AD11" s="38" t="str">
        <f t="shared" si="2"/>
        <v>WO</v>
      </c>
      <c r="AE11" s="38" t="s">
        <v>43</v>
      </c>
      <c r="AF11" s="38" t="s">
        <v>43</v>
      </c>
      <c r="AG11" s="38" t="s">
        <v>44</v>
      </c>
      <c r="AH11" s="38" t="s">
        <v>43</v>
      </c>
      <c r="AI11" s="38" t="s">
        <v>43</v>
      </c>
      <c r="AJ11" s="38" t="s">
        <v>43</v>
      </c>
      <c r="AK11" s="38" t="str">
        <f t="shared" si="2"/>
        <v>WO</v>
      </c>
      <c r="AL11" s="38" t="s">
        <v>43</v>
      </c>
      <c r="AM11" s="38" t="s">
        <v>42</v>
      </c>
      <c r="AN11" s="38" t="s">
        <v>43</v>
      </c>
      <c r="AO11" s="39" t="s">
        <v>43</v>
      </c>
      <c r="AP11" s="31"/>
      <c r="AQ11" s="36"/>
      <c r="AR11" s="19">
        <v>3</v>
      </c>
      <c r="AS11" s="19">
        <v>1003</v>
      </c>
      <c r="AT11" s="19" t="str">
        <f t="shared" si="3"/>
        <v>July</v>
      </c>
      <c r="AU11" s="19" t="s">
        <v>5</v>
      </c>
      <c r="AV11" s="27">
        <f t="shared" si="4"/>
        <v>23</v>
      </c>
      <c r="AW11" s="22">
        <f t="shared" si="5"/>
        <v>1</v>
      </c>
      <c r="AX11" s="22">
        <f t="shared" si="6"/>
        <v>3</v>
      </c>
      <c r="AY11" s="22">
        <f t="shared" si="7"/>
        <v>4</v>
      </c>
      <c r="AZ11" s="22">
        <f t="shared" si="8"/>
        <v>31</v>
      </c>
      <c r="BA11" s="22">
        <f>Jul_Month[[#This Row],[Days]]-Jul_Month[[#This Row],[Absent]]</f>
        <v>30</v>
      </c>
      <c r="BB11" s="23">
        <v>25000</v>
      </c>
      <c r="BC11" s="23">
        <f>Jul_Month[[#This Row],[Salary]]/Jul_Month[[#This Row],[Days]]</f>
        <v>806.45161290322585</v>
      </c>
      <c r="BD11" s="24">
        <f>Jul_Month[[#This Row],[PerDay Salary]]*Jul_Month[[#This Row],[Absent]]</f>
        <v>806.45161290322585</v>
      </c>
      <c r="BE11" s="23">
        <f>Jul_Month[[#This Row],[Salary]]-Jul_Month[[#This Row],[Deduction]]</f>
        <v>24193.548387096773</v>
      </c>
      <c r="BF11" s="22"/>
      <c r="BG11" s="36"/>
    </row>
    <row r="12" spans="1:59" ht="15.75" x14ac:dyDescent="0.25">
      <c r="A12"/>
      <c r="B12"/>
      <c r="C12"/>
      <c r="D12" s="29"/>
      <c r="F12" s="31"/>
      <c r="G12" s="3">
        <v>4</v>
      </c>
      <c r="H12" s="4">
        <v>1004</v>
      </c>
      <c r="I12" s="5" t="s">
        <v>6</v>
      </c>
      <c r="J12" s="37">
        <f t="shared" si="9"/>
        <v>4</v>
      </c>
      <c r="K12" s="38" t="s">
        <v>43</v>
      </c>
      <c r="L12" s="38" t="s">
        <v>43</v>
      </c>
      <c r="M12" s="38" t="s">
        <v>43</v>
      </c>
      <c r="N12" s="38" t="s">
        <v>43</v>
      </c>
      <c r="O12" s="38" t="s">
        <v>43</v>
      </c>
      <c r="P12" s="38" t="str">
        <f t="shared" si="2"/>
        <v>WO</v>
      </c>
      <c r="Q12" s="38" t="s">
        <v>43</v>
      </c>
      <c r="R12" s="38" t="s">
        <v>43</v>
      </c>
      <c r="S12" s="38" t="s">
        <v>43</v>
      </c>
      <c r="T12" s="38" t="s">
        <v>43</v>
      </c>
      <c r="U12" s="38" t="s">
        <v>43</v>
      </c>
      <c r="V12" s="38" t="s">
        <v>42</v>
      </c>
      <c r="W12" s="38" t="str">
        <f t="shared" si="2"/>
        <v>WO</v>
      </c>
      <c r="X12" s="38" t="s">
        <v>43</v>
      </c>
      <c r="Y12" s="38" t="s">
        <v>43</v>
      </c>
      <c r="Z12" s="38" t="s">
        <v>43</v>
      </c>
      <c r="AA12" s="38" t="s">
        <v>43</v>
      </c>
      <c r="AB12" s="38" t="s">
        <v>42</v>
      </c>
      <c r="AC12" s="38" t="s">
        <v>43</v>
      </c>
      <c r="AD12" s="38" t="str">
        <f t="shared" si="2"/>
        <v>WO</v>
      </c>
      <c r="AE12" s="38" t="s">
        <v>43</v>
      </c>
      <c r="AF12" s="38" t="s">
        <v>44</v>
      </c>
      <c r="AG12" s="38" t="s">
        <v>43</v>
      </c>
      <c r="AH12" s="38" t="s">
        <v>43</v>
      </c>
      <c r="AI12" s="38" t="s">
        <v>43</v>
      </c>
      <c r="AJ12" s="38" t="s">
        <v>44</v>
      </c>
      <c r="AK12" s="38" t="str">
        <f t="shared" si="2"/>
        <v>WO</v>
      </c>
      <c r="AL12" s="38" t="s">
        <v>43</v>
      </c>
      <c r="AM12" s="38" t="s">
        <v>42</v>
      </c>
      <c r="AN12" s="38" t="s">
        <v>43</v>
      </c>
      <c r="AO12" s="39" t="s">
        <v>43</v>
      </c>
      <c r="AP12" s="31"/>
      <c r="AQ12" s="36"/>
      <c r="AR12" s="19">
        <v>4</v>
      </c>
      <c r="AS12" s="19">
        <v>1004</v>
      </c>
      <c r="AT12" s="19" t="str">
        <f t="shared" si="3"/>
        <v>July</v>
      </c>
      <c r="AU12" s="19" t="s">
        <v>6</v>
      </c>
      <c r="AV12" s="27">
        <f t="shared" si="4"/>
        <v>22</v>
      </c>
      <c r="AW12" s="22">
        <f t="shared" si="5"/>
        <v>2</v>
      </c>
      <c r="AX12" s="22">
        <f t="shared" si="6"/>
        <v>3</v>
      </c>
      <c r="AY12" s="22">
        <f t="shared" si="7"/>
        <v>4</v>
      </c>
      <c r="AZ12" s="22">
        <f t="shared" si="8"/>
        <v>31</v>
      </c>
      <c r="BA12" s="22">
        <f>Jul_Month[[#This Row],[Days]]-Jul_Month[[#This Row],[Absent]]</f>
        <v>29</v>
      </c>
      <c r="BB12" s="23">
        <v>30000</v>
      </c>
      <c r="BC12" s="23">
        <f>Jul_Month[[#This Row],[Salary]]/Jul_Month[[#This Row],[Days]]</f>
        <v>967.74193548387098</v>
      </c>
      <c r="BD12" s="24">
        <f>Jul_Month[[#This Row],[PerDay Salary]]*Jul_Month[[#This Row],[Absent]]</f>
        <v>1935.483870967742</v>
      </c>
      <c r="BE12" s="23">
        <f>Jul_Month[[#This Row],[Salary]]-Jul_Month[[#This Row],[Deduction]]</f>
        <v>28064.516129032258</v>
      </c>
      <c r="BF12" s="22"/>
      <c r="BG12" s="36"/>
    </row>
    <row r="13" spans="1:59" ht="15.75" x14ac:dyDescent="0.25">
      <c r="A13"/>
      <c r="B13"/>
      <c r="C13"/>
      <c r="D13" s="29"/>
      <c r="F13" s="31"/>
      <c r="G13" s="3">
        <v>5</v>
      </c>
      <c r="H13" s="4">
        <v>1005</v>
      </c>
      <c r="I13" s="5" t="s">
        <v>7</v>
      </c>
      <c r="J13" s="37">
        <f t="shared" si="9"/>
        <v>4</v>
      </c>
      <c r="K13" s="38" t="s">
        <v>43</v>
      </c>
      <c r="L13" s="38" t="s">
        <v>43</v>
      </c>
      <c r="M13" s="38" t="s">
        <v>43</v>
      </c>
      <c r="N13" s="38" t="s">
        <v>43</v>
      </c>
      <c r="O13" s="38" t="s">
        <v>43</v>
      </c>
      <c r="P13" s="38" t="str">
        <f t="shared" si="2"/>
        <v>WO</v>
      </c>
      <c r="Q13" s="38" t="s">
        <v>43</v>
      </c>
      <c r="R13" s="38" t="s">
        <v>43</v>
      </c>
      <c r="S13" s="38" t="s">
        <v>43</v>
      </c>
      <c r="T13" s="38" t="s">
        <v>43</v>
      </c>
      <c r="U13" s="38" t="s">
        <v>43</v>
      </c>
      <c r="V13" s="38" t="s">
        <v>42</v>
      </c>
      <c r="W13" s="38" t="str">
        <f t="shared" si="2"/>
        <v>WO</v>
      </c>
      <c r="X13" s="38" t="s">
        <v>43</v>
      </c>
      <c r="Y13" s="38" t="s">
        <v>43</v>
      </c>
      <c r="Z13" s="38" t="s">
        <v>43</v>
      </c>
      <c r="AA13" s="38" t="s">
        <v>43</v>
      </c>
      <c r="AB13" s="38" t="s">
        <v>42</v>
      </c>
      <c r="AC13" s="38" t="s">
        <v>43</v>
      </c>
      <c r="AD13" s="38" t="str">
        <f t="shared" si="2"/>
        <v>WO</v>
      </c>
      <c r="AE13" s="38" t="s">
        <v>44</v>
      </c>
      <c r="AF13" s="38" t="s">
        <v>43</v>
      </c>
      <c r="AG13" s="38" t="s">
        <v>43</v>
      </c>
      <c r="AH13" s="38" t="s">
        <v>43</v>
      </c>
      <c r="AI13" s="38" t="s">
        <v>43</v>
      </c>
      <c r="AJ13" s="38" t="s">
        <v>43</v>
      </c>
      <c r="AK13" s="38" t="str">
        <f t="shared" si="2"/>
        <v>WO</v>
      </c>
      <c r="AL13" s="38" t="s">
        <v>43</v>
      </c>
      <c r="AM13" s="38" t="s">
        <v>42</v>
      </c>
      <c r="AN13" s="38" t="s">
        <v>43</v>
      </c>
      <c r="AO13" s="39" t="s">
        <v>43</v>
      </c>
      <c r="AP13" s="31"/>
      <c r="AQ13" s="36"/>
      <c r="AR13" s="19">
        <v>5</v>
      </c>
      <c r="AS13" s="19">
        <v>1005</v>
      </c>
      <c r="AT13" s="19" t="str">
        <f t="shared" si="3"/>
        <v>July</v>
      </c>
      <c r="AU13" s="19" t="s">
        <v>7</v>
      </c>
      <c r="AV13" s="27">
        <f t="shared" si="4"/>
        <v>23</v>
      </c>
      <c r="AW13" s="22">
        <f t="shared" si="5"/>
        <v>1</v>
      </c>
      <c r="AX13" s="22">
        <f t="shared" si="6"/>
        <v>3</v>
      </c>
      <c r="AY13" s="22">
        <f t="shared" si="7"/>
        <v>4</v>
      </c>
      <c r="AZ13" s="22">
        <f t="shared" si="8"/>
        <v>31</v>
      </c>
      <c r="BA13" s="22">
        <f>Jul_Month[[#This Row],[Days]]-Jul_Month[[#This Row],[Absent]]</f>
        <v>30</v>
      </c>
      <c r="BB13" s="23">
        <v>45000</v>
      </c>
      <c r="BC13" s="23">
        <f>Jul_Month[[#This Row],[Salary]]/Jul_Month[[#This Row],[Days]]</f>
        <v>1451.6129032258063</v>
      </c>
      <c r="BD13" s="24">
        <f>Jul_Month[[#This Row],[PerDay Salary]]*Jul_Month[[#This Row],[Absent]]</f>
        <v>1451.6129032258063</v>
      </c>
      <c r="BE13" s="23">
        <f>Jul_Month[[#This Row],[Salary]]-Jul_Month[[#This Row],[Deduction]]</f>
        <v>43548.387096774197</v>
      </c>
      <c r="BF13" s="22"/>
      <c r="BG13" s="36"/>
    </row>
    <row r="14" spans="1:59" ht="15.75" x14ac:dyDescent="0.25">
      <c r="A14"/>
      <c r="B14"/>
      <c r="C14"/>
      <c r="D14" s="29"/>
      <c r="F14" s="31"/>
      <c r="G14" s="3">
        <v>6</v>
      </c>
      <c r="H14" s="4">
        <v>1006</v>
      </c>
      <c r="I14" s="5" t="s">
        <v>8</v>
      </c>
      <c r="J14" s="37">
        <f t="shared" si="9"/>
        <v>4</v>
      </c>
      <c r="K14" s="38" t="s">
        <v>43</v>
      </c>
      <c r="L14" s="38" t="s">
        <v>43</v>
      </c>
      <c r="M14" s="38" t="s">
        <v>43</v>
      </c>
      <c r="N14" s="38" t="s">
        <v>43</v>
      </c>
      <c r="O14" s="38" t="s">
        <v>43</v>
      </c>
      <c r="P14" s="38" t="str">
        <f t="shared" si="2"/>
        <v>WO</v>
      </c>
      <c r="Q14" s="38" t="s">
        <v>43</v>
      </c>
      <c r="R14" s="38" t="s">
        <v>43</v>
      </c>
      <c r="S14" s="38" t="s">
        <v>43</v>
      </c>
      <c r="T14" s="38" t="s">
        <v>43</v>
      </c>
      <c r="U14" s="38" t="s">
        <v>43</v>
      </c>
      <c r="V14" s="38" t="s">
        <v>42</v>
      </c>
      <c r="W14" s="38" t="str">
        <f t="shared" si="2"/>
        <v>WO</v>
      </c>
      <c r="X14" s="38" t="s">
        <v>43</v>
      </c>
      <c r="Y14" s="38" t="s">
        <v>43</v>
      </c>
      <c r="Z14" s="38" t="s">
        <v>43</v>
      </c>
      <c r="AA14" s="38" t="s">
        <v>43</v>
      </c>
      <c r="AB14" s="38" t="s">
        <v>42</v>
      </c>
      <c r="AC14" s="38" t="s">
        <v>44</v>
      </c>
      <c r="AD14" s="38" t="str">
        <f t="shared" si="2"/>
        <v>WO</v>
      </c>
      <c r="AE14" s="38" t="s">
        <v>43</v>
      </c>
      <c r="AF14" s="38" t="s">
        <v>43</v>
      </c>
      <c r="AG14" s="38" t="s">
        <v>43</v>
      </c>
      <c r="AH14" s="38" t="s">
        <v>43</v>
      </c>
      <c r="AI14" s="38" t="s">
        <v>43</v>
      </c>
      <c r="AJ14" s="38" t="s">
        <v>43</v>
      </c>
      <c r="AK14" s="38" t="str">
        <f t="shared" si="2"/>
        <v>WO</v>
      </c>
      <c r="AL14" s="38" t="s">
        <v>43</v>
      </c>
      <c r="AM14" s="38" t="s">
        <v>42</v>
      </c>
      <c r="AN14" s="38" t="s">
        <v>43</v>
      </c>
      <c r="AO14" s="39" t="s">
        <v>43</v>
      </c>
      <c r="AP14" s="31"/>
      <c r="AQ14" s="36"/>
      <c r="AR14" s="19">
        <v>6</v>
      </c>
      <c r="AS14" s="19">
        <v>1006</v>
      </c>
      <c r="AT14" s="19" t="str">
        <f t="shared" si="3"/>
        <v>July</v>
      </c>
      <c r="AU14" s="19" t="s">
        <v>8</v>
      </c>
      <c r="AV14" s="27">
        <f t="shared" si="4"/>
        <v>23</v>
      </c>
      <c r="AW14" s="22">
        <f t="shared" si="5"/>
        <v>1</v>
      </c>
      <c r="AX14" s="22">
        <f t="shared" si="6"/>
        <v>3</v>
      </c>
      <c r="AY14" s="22">
        <f t="shared" si="7"/>
        <v>4</v>
      </c>
      <c r="AZ14" s="22">
        <f t="shared" si="8"/>
        <v>31</v>
      </c>
      <c r="BA14" s="22">
        <f>Jul_Month[[#This Row],[Days]]-Jul_Month[[#This Row],[Absent]]</f>
        <v>30</v>
      </c>
      <c r="BB14" s="23">
        <v>15000</v>
      </c>
      <c r="BC14" s="23">
        <f>Jul_Month[[#This Row],[Salary]]/Jul_Month[[#This Row],[Days]]</f>
        <v>483.87096774193549</v>
      </c>
      <c r="BD14" s="24">
        <f>Jul_Month[[#This Row],[PerDay Salary]]*Jul_Month[[#This Row],[Absent]]</f>
        <v>483.87096774193549</v>
      </c>
      <c r="BE14" s="23">
        <f>Jul_Month[[#This Row],[Salary]]-Jul_Month[[#This Row],[Deduction]]</f>
        <v>14516.129032258064</v>
      </c>
      <c r="BF14" s="22"/>
      <c r="BG14" s="36"/>
    </row>
    <row r="15" spans="1:59" ht="15.75" x14ac:dyDescent="0.25">
      <c r="A15"/>
      <c r="B15"/>
      <c r="C15"/>
      <c r="D15" s="29"/>
      <c r="F15" s="31"/>
      <c r="G15" s="3">
        <v>7</v>
      </c>
      <c r="H15" s="4">
        <v>1007</v>
      </c>
      <c r="I15" s="5" t="s">
        <v>9</v>
      </c>
      <c r="J15" s="37">
        <f t="shared" si="9"/>
        <v>4</v>
      </c>
      <c r="K15" s="38" t="s">
        <v>43</v>
      </c>
      <c r="L15" s="38" t="s">
        <v>43</v>
      </c>
      <c r="M15" s="38" t="s">
        <v>43</v>
      </c>
      <c r="N15" s="38" t="s">
        <v>43</v>
      </c>
      <c r="O15" s="38" t="s">
        <v>43</v>
      </c>
      <c r="P15" s="38" t="str">
        <f t="shared" si="2"/>
        <v>WO</v>
      </c>
      <c r="Q15" s="38" t="s">
        <v>43</v>
      </c>
      <c r="R15" s="38" t="s">
        <v>43</v>
      </c>
      <c r="S15" s="38" t="s">
        <v>43</v>
      </c>
      <c r="T15" s="38" t="s">
        <v>43</v>
      </c>
      <c r="U15" s="38" t="s">
        <v>43</v>
      </c>
      <c r="V15" s="38" t="s">
        <v>42</v>
      </c>
      <c r="W15" s="38" t="str">
        <f t="shared" si="2"/>
        <v>WO</v>
      </c>
      <c r="X15" s="38" t="s">
        <v>43</v>
      </c>
      <c r="Y15" s="38" t="s">
        <v>43</v>
      </c>
      <c r="Z15" s="38" t="s">
        <v>43</v>
      </c>
      <c r="AA15" s="38" t="s">
        <v>44</v>
      </c>
      <c r="AB15" s="38" t="s">
        <v>42</v>
      </c>
      <c r="AC15" s="38" t="s">
        <v>43</v>
      </c>
      <c r="AD15" s="38" t="str">
        <f t="shared" si="2"/>
        <v>WO</v>
      </c>
      <c r="AE15" s="38" t="s">
        <v>43</v>
      </c>
      <c r="AF15" s="38" t="s">
        <v>43</v>
      </c>
      <c r="AG15" s="38" t="s">
        <v>43</v>
      </c>
      <c r="AH15" s="38" t="s">
        <v>43</v>
      </c>
      <c r="AI15" s="38" t="s">
        <v>43</v>
      </c>
      <c r="AJ15" s="38" t="s">
        <v>43</v>
      </c>
      <c r="AK15" s="38" t="str">
        <f t="shared" si="2"/>
        <v>WO</v>
      </c>
      <c r="AL15" s="38" t="s">
        <v>44</v>
      </c>
      <c r="AM15" s="38" t="s">
        <v>42</v>
      </c>
      <c r="AN15" s="38" t="s">
        <v>43</v>
      </c>
      <c r="AO15" s="39" t="s">
        <v>43</v>
      </c>
      <c r="AP15" s="31"/>
      <c r="AQ15" s="36"/>
      <c r="AR15" s="19">
        <v>7</v>
      </c>
      <c r="AS15" s="19">
        <v>1007</v>
      </c>
      <c r="AT15" s="19" t="str">
        <f t="shared" si="3"/>
        <v>July</v>
      </c>
      <c r="AU15" s="19" t="s">
        <v>9</v>
      </c>
      <c r="AV15" s="27">
        <f t="shared" si="4"/>
        <v>22</v>
      </c>
      <c r="AW15" s="22">
        <f t="shared" si="5"/>
        <v>2</v>
      </c>
      <c r="AX15" s="22">
        <f t="shared" si="6"/>
        <v>3</v>
      </c>
      <c r="AY15" s="22">
        <f t="shared" si="7"/>
        <v>4</v>
      </c>
      <c r="AZ15" s="22">
        <f t="shared" si="8"/>
        <v>31</v>
      </c>
      <c r="BA15" s="22">
        <f>Jul_Month[[#This Row],[Days]]-Jul_Month[[#This Row],[Absent]]</f>
        <v>29</v>
      </c>
      <c r="BB15" s="23">
        <v>62000</v>
      </c>
      <c r="BC15" s="23">
        <f>Jul_Month[[#This Row],[Salary]]/Jul_Month[[#This Row],[Days]]</f>
        <v>2000</v>
      </c>
      <c r="BD15" s="24">
        <f>Jul_Month[[#This Row],[PerDay Salary]]*Jul_Month[[#This Row],[Absent]]</f>
        <v>4000</v>
      </c>
      <c r="BE15" s="23">
        <f>Jul_Month[[#This Row],[Salary]]-Jul_Month[[#This Row],[Deduction]]</f>
        <v>58000</v>
      </c>
      <c r="BF15" s="22"/>
      <c r="BG15" s="36"/>
    </row>
    <row r="16" spans="1:59" ht="15.75" x14ac:dyDescent="0.25">
      <c r="A16"/>
      <c r="B16"/>
      <c r="C16"/>
      <c r="D16" s="29"/>
      <c r="F16" s="31"/>
      <c r="G16" s="3">
        <v>8</v>
      </c>
      <c r="H16" s="4">
        <v>1008</v>
      </c>
      <c r="I16" s="5" t="s">
        <v>10</v>
      </c>
      <c r="J16" s="37">
        <f t="shared" si="9"/>
        <v>4</v>
      </c>
      <c r="K16" s="38" t="s">
        <v>43</v>
      </c>
      <c r="L16" s="38" t="s">
        <v>43</v>
      </c>
      <c r="M16" s="38" t="s">
        <v>43</v>
      </c>
      <c r="N16" s="38" t="s">
        <v>43</v>
      </c>
      <c r="O16" s="38" t="s">
        <v>43</v>
      </c>
      <c r="P16" s="38" t="str">
        <f t="shared" si="2"/>
        <v>WO</v>
      </c>
      <c r="Q16" s="38" t="s">
        <v>43</v>
      </c>
      <c r="R16" s="38" t="s">
        <v>43</v>
      </c>
      <c r="S16" s="38" t="s">
        <v>43</v>
      </c>
      <c r="T16" s="38" t="s">
        <v>43</v>
      </c>
      <c r="U16" s="38" t="s">
        <v>43</v>
      </c>
      <c r="V16" s="38" t="s">
        <v>42</v>
      </c>
      <c r="W16" s="38" t="str">
        <f t="shared" si="2"/>
        <v>WO</v>
      </c>
      <c r="X16" s="38" t="s">
        <v>43</v>
      </c>
      <c r="Y16" s="38" t="s">
        <v>43</v>
      </c>
      <c r="Z16" s="38" t="s">
        <v>44</v>
      </c>
      <c r="AA16" s="38" t="s">
        <v>43</v>
      </c>
      <c r="AB16" s="38" t="s">
        <v>42</v>
      </c>
      <c r="AC16" s="38" t="s">
        <v>43</v>
      </c>
      <c r="AD16" s="38" t="str">
        <f t="shared" si="2"/>
        <v>WO</v>
      </c>
      <c r="AE16" s="38" t="s">
        <v>43</v>
      </c>
      <c r="AF16" s="38" t="s">
        <v>43</v>
      </c>
      <c r="AG16" s="38" t="s">
        <v>43</v>
      </c>
      <c r="AH16" s="38" t="s">
        <v>43</v>
      </c>
      <c r="AI16" s="38" t="s">
        <v>43</v>
      </c>
      <c r="AJ16" s="38" t="s">
        <v>43</v>
      </c>
      <c r="AK16" s="38" t="str">
        <f t="shared" si="2"/>
        <v>WO</v>
      </c>
      <c r="AL16" s="38" t="s">
        <v>43</v>
      </c>
      <c r="AM16" s="38" t="s">
        <v>42</v>
      </c>
      <c r="AN16" s="38" t="s">
        <v>43</v>
      </c>
      <c r="AO16" s="39" t="s">
        <v>43</v>
      </c>
      <c r="AP16" s="31"/>
      <c r="AQ16" s="36"/>
      <c r="AR16" s="19">
        <v>8</v>
      </c>
      <c r="AS16" s="19">
        <v>1008</v>
      </c>
      <c r="AT16" s="19" t="str">
        <f t="shared" si="3"/>
        <v>July</v>
      </c>
      <c r="AU16" s="19" t="s">
        <v>10</v>
      </c>
      <c r="AV16" s="27">
        <f t="shared" si="4"/>
        <v>23</v>
      </c>
      <c r="AW16" s="22">
        <f t="shared" si="5"/>
        <v>1</v>
      </c>
      <c r="AX16" s="22">
        <f t="shared" si="6"/>
        <v>3</v>
      </c>
      <c r="AY16" s="22">
        <f t="shared" si="7"/>
        <v>4</v>
      </c>
      <c r="AZ16" s="22">
        <f t="shared" si="8"/>
        <v>31</v>
      </c>
      <c r="BA16" s="22">
        <f>Jul_Month[[#This Row],[Days]]-Jul_Month[[#This Row],[Absent]]</f>
        <v>30</v>
      </c>
      <c r="BB16" s="23">
        <v>50000</v>
      </c>
      <c r="BC16" s="23">
        <f>Jul_Month[[#This Row],[Salary]]/Jul_Month[[#This Row],[Days]]</f>
        <v>1612.9032258064517</v>
      </c>
      <c r="BD16" s="24">
        <f>Jul_Month[[#This Row],[PerDay Salary]]*Jul_Month[[#This Row],[Absent]]</f>
        <v>1612.9032258064517</v>
      </c>
      <c r="BE16" s="23">
        <f>Jul_Month[[#This Row],[Salary]]-Jul_Month[[#This Row],[Deduction]]</f>
        <v>48387.096774193546</v>
      </c>
      <c r="BF16" s="22"/>
      <c r="BG16" s="36"/>
    </row>
    <row r="17" spans="1:59" ht="15.75" x14ac:dyDescent="0.25">
      <c r="A17"/>
      <c r="B17"/>
      <c r="C17"/>
      <c r="D17" s="29"/>
      <c r="F17" s="31"/>
      <c r="G17" s="3">
        <v>9</v>
      </c>
      <c r="H17" s="4">
        <v>1009</v>
      </c>
      <c r="I17" s="46" t="s">
        <v>11</v>
      </c>
      <c r="J17" s="37">
        <f t="shared" si="9"/>
        <v>4</v>
      </c>
      <c r="K17" s="38" t="s">
        <v>43</v>
      </c>
      <c r="L17" s="38" t="s">
        <v>43</v>
      </c>
      <c r="M17" s="38" t="s">
        <v>43</v>
      </c>
      <c r="N17" s="38" t="s">
        <v>43</v>
      </c>
      <c r="O17" s="38" t="s">
        <v>43</v>
      </c>
      <c r="P17" s="38" t="str">
        <f t="shared" si="2"/>
        <v>WO</v>
      </c>
      <c r="Q17" s="38" t="s">
        <v>43</v>
      </c>
      <c r="R17" s="38" t="s">
        <v>43</v>
      </c>
      <c r="S17" s="38" t="s">
        <v>43</v>
      </c>
      <c r="T17" s="38" t="s">
        <v>43</v>
      </c>
      <c r="U17" s="38" t="s">
        <v>43</v>
      </c>
      <c r="V17" s="38" t="s">
        <v>42</v>
      </c>
      <c r="W17" s="38" t="str">
        <f t="shared" si="2"/>
        <v>WO</v>
      </c>
      <c r="X17" s="38" t="s">
        <v>43</v>
      </c>
      <c r="Y17" s="38" t="s">
        <v>44</v>
      </c>
      <c r="Z17" s="38" t="s">
        <v>43</v>
      </c>
      <c r="AA17" s="38" t="s">
        <v>43</v>
      </c>
      <c r="AB17" s="38" t="s">
        <v>42</v>
      </c>
      <c r="AC17" s="38" t="s">
        <v>43</v>
      </c>
      <c r="AD17" s="38" t="str">
        <f t="shared" ref="AD17:AK17" si="10">IF(AD$7="Sun","WO","")</f>
        <v>WO</v>
      </c>
      <c r="AE17" s="38" t="s">
        <v>43</v>
      </c>
      <c r="AF17" s="38" t="s">
        <v>43</v>
      </c>
      <c r="AG17" s="38" t="s">
        <v>43</v>
      </c>
      <c r="AH17" s="38" t="s">
        <v>43</v>
      </c>
      <c r="AI17" s="38" t="s">
        <v>43</v>
      </c>
      <c r="AJ17" s="38" t="s">
        <v>43</v>
      </c>
      <c r="AK17" s="38" t="str">
        <f t="shared" si="10"/>
        <v>WO</v>
      </c>
      <c r="AL17" s="38" t="s">
        <v>43</v>
      </c>
      <c r="AM17" s="38" t="s">
        <v>42</v>
      </c>
      <c r="AN17" s="38" t="s">
        <v>43</v>
      </c>
      <c r="AO17" s="39" t="s">
        <v>43</v>
      </c>
      <c r="AP17" s="31"/>
      <c r="AQ17" s="36"/>
      <c r="AR17" s="19">
        <v>9</v>
      </c>
      <c r="AS17" s="19">
        <v>1009</v>
      </c>
      <c r="AT17" s="19" t="str">
        <f t="shared" si="3"/>
        <v>July</v>
      </c>
      <c r="AU17" s="19" t="s">
        <v>11</v>
      </c>
      <c r="AV17" s="27">
        <f t="shared" si="4"/>
        <v>23</v>
      </c>
      <c r="AW17" s="22">
        <f t="shared" si="5"/>
        <v>1</v>
      </c>
      <c r="AX17" s="22">
        <f t="shared" si="6"/>
        <v>3</v>
      </c>
      <c r="AY17" s="22">
        <f t="shared" si="7"/>
        <v>4</v>
      </c>
      <c r="AZ17" s="22">
        <f t="shared" si="8"/>
        <v>31</v>
      </c>
      <c r="BA17" s="22">
        <f>Jul_Month[[#This Row],[Days]]-Jul_Month[[#This Row],[Absent]]</f>
        <v>30</v>
      </c>
      <c r="BB17" s="23">
        <v>25000</v>
      </c>
      <c r="BC17" s="23">
        <f>Jul_Month[[#This Row],[Salary]]/Jul_Month[[#This Row],[Days]]</f>
        <v>806.45161290322585</v>
      </c>
      <c r="BD17" s="24">
        <f>Jul_Month[[#This Row],[PerDay Salary]]*Jul_Month[[#This Row],[Absent]]</f>
        <v>806.45161290322585</v>
      </c>
      <c r="BE17" s="23">
        <f>Jul_Month[[#This Row],[Salary]]-Jul_Month[[#This Row],[Deduction]]</f>
        <v>24193.548387096773</v>
      </c>
      <c r="BF17" s="22"/>
      <c r="BG17" s="36"/>
    </row>
    <row r="18" spans="1:59" ht="15.75" x14ac:dyDescent="0.25">
      <c r="A18"/>
      <c r="B18"/>
      <c r="C18"/>
      <c r="D18" s="29"/>
      <c r="F18" s="31"/>
      <c r="G18" s="3">
        <v>10</v>
      </c>
      <c r="H18" s="4">
        <v>1010</v>
      </c>
      <c r="I18" s="5" t="s">
        <v>12</v>
      </c>
      <c r="J18" s="37">
        <f t="shared" si="9"/>
        <v>4</v>
      </c>
      <c r="K18" s="38" t="s">
        <v>43</v>
      </c>
      <c r="L18" s="38" t="s">
        <v>43</v>
      </c>
      <c r="M18" s="38" t="s">
        <v>43</v>
      </c>
      <c r="N18" s="38" t="s">
        <v>43</v>
      </c>
      <c r="O18" s="38" t="s">
        <v>43</v>
      </c>
      <c r="P18" s="38" t="str">
        <f t="shared" ref="P18:W28" si="11">IF(P$7="Sun","WO","")</f>
        <v>WO</v>
      </c>
      <c r="Q18" s="38" t="s">
        <v>43</v>
      </c>
      <c r="R18" s="38" t="s">
        <v>43</v>
      </c>
      <c r="S18" s="38" t="s">
        <v>43</v>
      </c>
      <c r="T18" s="38" t="s">
        <v>43</v>
      </c>
      <c r="U18" s="38" t="s">
        <v>43</v>
      </c>
      <c r="V18" s="38" t="s">
        <v>42</v>
      </c>
      <c r="W18" s="38" t="str">
        <f t="shared" si="11"/>
        <v>WO</v>
      </c>
      <c r="X18" s="38" t="s">
        <v>44</v>
      </c>
      <c r="Y18" s="38" t="s">
        <v>43</v>
      </c>
      <c r="Z18" s="38" t="s">
        <v>43</v>
      </c>
      <c r="AA18" s="38" t="s">
        <v>43</v>
      </c>
      <c r="AB18" s="38" t="s">
        <v>42</v>
      </c>
      <c r="AC18" s="38" t="s">
        <v>43</v>
      </c>
      <c r="AD18" s="38" t="str">
        <f t="shared" ref="AD18:AK28" si="12">IF(AD$7="Sun","WO","")</f>
        <v>WO</v>
      </c>
      <c r="AE18" s="38" t="s">
        <v>43</v>
      </c>
      <c r="AF18" s="38" t="s">
        <v>43</v>
      </c>
      <c r="AG18" s="38" t="s">
        <v>43</v>
      </c>
      <c r="AH18" s="38" t="s">
        <v>43</v>
      </c>
      <c r="AI18" s="38" t="s">
        <v>43</v>
      </c>
      <c r="AJ18" s="38" t="s">
        <v>43</v>
      </c>
      <c r="AK18" s="38" t="str">
        <f t="shared" si="12"/>
        <v>WO</v>
      </c>
      <c r="AL18" s="38" t="s">
        <v>43</v>
      </c>
      <c r="AM18" s="38" t="s">
        <v>42</v>
      </c>
      <c r="AN18" s="38" t="s">
        <v>43</v>
      </c>
      <c r="AO18" s="39" t="s">
        <v>43</v>
      </c>
      <c r="AP18" s="31"/>
      <c r="AQ18" s="36"/>
      <c r="AR18" s="19">
        <v>10</v>
      </c>
      <c r="AS18" s="19">
        <v>1010</v>
      </c>
      <c r="AT18" s="19" t="str">
        <f t="shared" si="3"/>
        <v>July</v>
      </c>
      <c r="AU18" s="19" t="s">
        <v>12</v>
      </c>
      <c r="AV18" s="27">
        <f t="shared" si="4"/>
        <v>23</v>
      </c>
      <c r="AW18" s="22">
        <f t="shared" si="5"/>
        <v>1</v>
      </c>
      <c r="AX18" s="22">
        <f t="shared" si="6"/>
        <v>3</v>
      </c>
      <c r="AY18" s="22">
        <f t="shared" si="7"/>
        <v>4</v>
      </c>
      <c r="AZ18" s="22">
        <f t="shared" si="8"/>
        <v>31</v>
      </c>
      <c r="BA18" s="22">
        <f>Jul_Month[[#This Row],[Days]]-Jul_Month[[#This Row],[Absent]]</f>
        <v>30</v>
      </c>
      <c r="BB18" s="23">
        <v>45000</v>
      </c>
      <c r="BC18" s="23">
        <f>Jul_Month[[#This Row],[Salary]]/Jul_Month[[#This Row],[Days]]</f>
        <v>1451.6129032258063</v>
      </c>
      <c r="BD18" s="24">
        <f>Jul_Month[[#This Row],[PerDay Salary]]*Jul_Month[[#This Row],[Absent]]</f>
        <v>1451.6129032258063</v>
      </c>
      <c r="BE18" s="23">
        <f>Jul_Month[[#This Row],[Salary]]-Jul_Month[[#This Row],[Deduction]]</f>
        <v>43548.387096774197</v>
      </c>
      <c r="BF18" s="22"/>
      <c r="BG18" s="36"/>
    </row>
    <row r="19" spans="1:59" ht="15.75" x14ac:dyDescent="0.25">
      <c r="A19"/>
      <c r="B19"/>
      <c r="C19"/>
      <c r="D19" s="29"/>
      <c r="F19" s="31"/>
      <c r="G19" s="3">
        <v>11</v>
      </c>
      <c r="H19" s="4">
        <v>1011</v>
      </c>
      <c r="I19" s="5" t="s">
        <v>13</v>
      </c>
      <c r="J19" s="37">
        <f t="shared" si="9"/>
        <v>4</v>
      </c>
      <c r="K19" s="38" t="s">
        <v>43</v>
      </c>
      <c r="L19" s="38" t="s">
        <v>43</v>
      </c>
      <c r="M19" s="38" t="s">
        <v>43</v>
      </c>
      <c r="N19" s="38" t="s">
        <v>43</v>
      </c>
      <c r="O19" s="38" t="s">
        <v>43</v>
      </c>
      <c r="P19" s="38" t="str">
        <f t="shared" si="11"/>
        <v>WO</v>
      </c>
      <c r="Q19" s="38" t="s">
        <v>43</v>
      </c>
      <c r="R19" s="38" t="s">
        <v>43</v>
      </c>
      <c r="S19" s="38" t="s">
        <v>43</v>
      </c>
      <c r="T19" s="38" t="s">
        <v>43</v>
      </c>
      <c r="U19" s="38" t="s">
        <v>44</v>
      </c>
      <c r="V19" s="38" t="s">
        <v>42</v>
      </c>
      <c r="W19" s="38" t="str">
        <f t="shared" si="11"/>
        <v>WO</v>
      </c>
      <c r="X19" s="38" t="s">
        <v>43</v>
      </c>
      <c r="Y19" s="38" t="s">
        <v>43</v>
      </c>
      <c r="Z19" s="38" t="s">
        <v>43</v>
      </c>
      <c r="AA19" s="38" t="s">
        <v>43</v>
      </c>
      <c r="AB19" s="38" t="s">
        <v>42</v>
      </c>
      <c r="AC19" s="38" t="s">
        <v>43</v>
      </c>
      <c r="AD19" s="38" t="str">
        <f t="shared" si="12"/>
        <v>WO</v>
      </c>
      <c r="AE19" s="38" t="s">
        <v>43</v>
      </c>
      <c r="AF19" s="38" t="s">
        <v>43</v>
      </c>
      <c r="AG19" s="38" t="s">
        <v>43</v>
      </c>
      <c r="AH19" s="38" t="s">
        <v>43</v>
      </c>
      <c r="AI19" s="38" t="s">
        <v>43</v>
      </c>
      <c r="AJ19" s="38" t="s">
        <v>43</v>
      </c>
      <c r="AK19" s="38" t="str">
        <f t="shared" si="12"/>
        <v>WO</v>
      </c>
      <c r="AL19" s="38" t="s">
        <v>43</v>
      </c>
      <c r="AM19" s="38" t="s">
        <v>42</v>
      </c>
      <c r="AN19" s="38" t="s">
        <v>44</v>
      </c>
      <c r="AO19" s="39" t="s">
        <v>43</v>
      </c>
      <c r="AP19" s="31"/>
      <c r="AQ19" s="36"/>
      <c r="AR19" s="19">
        <v>11</v>
      </c>
      <c r="AS19" s="19">
        <v>1011</v>
      </c>
      <c r="AT19" s="19" t="str">
        <f t="shared" si="3"/>
        <v>July</v>
      </c>
      <c r="AU19" s="19" t="s">
        <v>13</v>
      </c>
      <c r="AV19" s="27">
        <f t="shared" si="4"/>
        <v>22</v>
      </c>
      <c r="AW19" s="22">
        <f t="shared" si="5"/>
        <v>2</v>
      </c>
      <c r="AX19" s="22">
        <f t="shared" si="6"/>
        <v>3</v>
      </c>
      <c r="AY19" s="22">
        <f t="shared" si="7"/>
        <v>4</v>
      </c>
      <c r="AZ19" s="22">
        <f t="shared" si="8"/>
        <v>31</v>
      </c>
      <c r="BA19" s="22">
        <f>Jul_Month[[#This Row],[Days]]-Jul_Month[[#This Row],[Absent]]</f>
        <v>29</v>
      </c>
      <c r="BB19" s="23">
        <v>48000</v>
      </c>
      <c r="BC19" s="23">
        <f>Jul_Month[[#This Row],[Salary]]/Jul_Month[[#This Row],[Days]]</f>
        <v>1548.3870967741937</v>
      </c>
      <c r="BD19" s="24">
        <f>Jul_Month[[#This Row],[PerDay Salary]]*Jul_Month[[#This Row],[Absent]]</f>
        <v>3096.7741935483873</v>
      </c>
      <c r="BE19" s="23">
        <f>Jul_Month[[#This Row],[Salary]]-Jul_Month[[#This Row],[Deduction]]</f>
        <v>44903.225806451614</v>
      </c>
      <c r="BF19" s="22"/>
      <c r="BG19" s="36"/>
    </row>
    <row r="20" spans="1:59" ht="15.75" x14ac:dyDescent="0.25">
      <c r="A20"/>
      <c r="B20"/>
      <c r="C20"/>
      <c r="D20" s="29"/>
      <c r="F20" s="31"/>
      <c r="G20" s="3">
        <v>12</v>
      </c>
      <c r="H20" s="4">
        <v>1012</v>
      </c>
      <c r="I20" s="5" t="s">
        <v>14</v>
      </c>
      <c r="J20" s="37">
        <f t="shared" si="9"/>
        <v>4</v>
      </c>
      <c r="K20" s="38" t="s">
        <v>43</v>
      </c>
      <c r="L20" s="38" t="s">
        <v>43</v>
      </c>
      <c r="M20" s="38" t="s">
        <v>43</v>
      </c>
      <c r="N20" s="38" t="s">
        <v>43</v>
      </c>
      <c r="O20" s="38" t="s">
        <v>43</v>
      </c>
      <c r="P20" s="38" t="str">
        <f t="shared" si="11"/>
        <v>WO</v>
      </c>
      <c r="Q20" s="38" t="s">
        <v>43</v>
      </c>
      <c r="R20" s="38" t="s">
        <v>43</v>
      </c>
      <c r="S20" s="38" t="s">
        <v>43</v>
      </c>
      <c r="T20" s="38" t="s">
        <v>44</v>
      </c>
      <c r="U20" s="38" t="s">
        <v>43</v>
      </c>
      <c r="V20" s="38" t="s">
        <v>42</v>
      </c>
      <c r="W20" s="38" t="str">
        <f t="shared" si="11"/>
        <v>WO</v>
      </c>
      <c r="X20" s="38" t="s">
        <v>43</v>
      </c>
      <c r="Y20" s="38" t="s">
        <v>43</v>
      </c>
      <c r="Z20" s="38" t="s">
        <v>43</v>
      </c>
      <c r="AA20" s="38" t="s">
        <v>43</v>
      </c>
      <c r="AB20" s="38" t="s">
        <v>42</v>
      </c>
      <c r="AC20" s="38" t="s">
        <v>43</v>
      </c>
      <c r="AD20" s="38" t="str">
        <f t="shared" si="12"/>
        <v>WO</v>
      </c>
      <c r="AE20" s="38" t="s">
        <v>43</v>
      </c>
      <c r="AF20" s="38" t="s">
        <v>43</v>
      </c>
      <c r="AG20" s="38" t="s">
        <v>43</v>
      </c>
      <c r="AH20" s="38" t="s">
        <v>43</v>
      </c>
      <c r="AI20" s="38" t="s">
        <v>43</v>
      </c>
      <c r="AJ20" s="38" t="s">
        <v>43</v>
      </c>
      <c r="AK20" s="38" t="str">
        <f t="shared" si="12"/>
        <v>WO</v>
      </c>
      <c r="AL20" s="38" t="s">
        <v>43</v>
      </c>
      <c r="AM20" s="38" t="s">
        <v>42</v>
      </c>
      <c r="AN20" s="38" t="s">
        <v>43</v>
      </c>
      <c r="AO20" s="39" t="s">
        <v>43</v>
      </c>
      <c r="AP20" s="31"/>
      <c r="AQ20" s="36"/>
      <c r="AR20" s="19">
        <v>12</v>
      </c>
      <c r="AS20" s="19">
        <v>1012</v>
      </c>
      <c r="AT20" s="19" t="str">
        <f t="shared" si="3"/>
        <v>July</v>
      </c>
      <c r="AU20" s="19" t="s">
        <v>14</v>
      </c>
      <c r="AV20" s="27">
        <f t="shared" si="4"/>
        <v>23</v>
      </c>
      <c r="AW20" s="22">
        <f t="shared" si="5"/>
        <v>1</v>
      </c>
      <c r="AX20" s="22">
        <f t="shared" si="6"/>
        <v>3</v>
      </c>
      <c r="AY20" s="22">
        <f t="shared" si="7"/>
        <v>4</v>
      </c>
      <c r="AZ20" s="22">
        <f t="shared" si="8"/>
        <v>31</v>
      </c>
      <c r="BA20" s="22">
        <f>Jul_Month[[#This Row],[Days]]-Jul_Month[[#This Row],[Absent]]</f>
        <v>30</v>
      </c>
      <c r="BB20" s="23">
        <v>52000</v>
      </c>
      <c r="BC20" s="23">
        <f>Jul_Month[[#This Row],[Salary]]/Jul_Month[[#This Row],[Days]]</f>
        <v>1677.4193548387098</v>
      </c>
      <c r="BD20" s="24">
        <f>Jul_Month[[#This Row],[PerDay Salary]]*Jul_Month[[#This Row],[Absent]]</f>
        <v>1677.4193548387098</v>
      </c>
      <c r="BE20" s="23">
        <f>Jul_Month[[#This Row],[Salary]]-Jul_Month[[#This Row],[Deduction]]</f>
        <v>50322.580645161288</v>
      </c>
      <c r="BF20" s="22"/>
      <c r="BG20" s="36"/>
    </row>
    <row r="21" spans="1:59" ht="15.75" x14ac:dyDescent="0.25">
      <c r="A21"/>
      <c r="B21"/>
      <c r="C21"/>
      <c r="D21" s="29"/>
      <c r="F21" s="31"/>
      <c r="G21" s="3">
        <v>13</v>
      </c>
      <c r="H21" s="4">
        <v>1013</v>
      </c>
      <c r="I21" s="5" t="s">
        <v>15</v>
      </c>
      <c r="J21" s="37">
        <f t="shared" si="9"/>
        <v>4</v>
      </c>
      <c r="K21" s="38" t="s">
        <v>43</v>
      </c>
      <c r="L21" s="38" t="s">
        <v>43</v>
      </c>
      <c r="M21" s="38" t="s">
        <v>43</v>
      </c>
      <c r="N21" s="38" t="s">
        <v>43</v>
      </c>
      <c r="O21" s="38" t="s">
        <v>43</v>
      </c>
      <c r="P21" s="38" t="str">
        <f t="shared" si="11"/>
        <v>WO</v>
      </c>
      <c r="Q21" s="38" t="s">
        <v>43</v>
      </c>
      <c r="R21" s="38" t="s">
        <v>43</v>
      </c>
      <c r="S21" s="38" t="s">
        <v>44</v>
      </c>
      <c r="T21" s="38" t="s">
        <v>43</v>
      </c>
      <c r="U21" s="38" t="s">
        <v>43</v>
      </c>
      <c r="V21" s="38" t="s">
        <v>42</v>
      </c>
      <c r="W21" s="38" t="str">
        <f t="shared" si="11"/>
        <v>WO</v>
      </c>
      <c r="X21" s="38" t="s">
        <v>43</v>
      </c>
      <c r="Y21" s="38" t="s">
        <v>43</v>
      </c>
      <c r="Z21" s="38" t="s">
        <v>43</v>
      </c>
      <c r="AA21" s="38" t="s">
        <v>43</v>
      </c>
      <c r="AB21" s="38" t="s">
        <v>42</v>
      </c>
      <c r="AC21" s="38" t="s">
        <v>43</v>
      </c>
      <c r="AD21" s="38" t="str">
        <f t="shared" si="12"/>
        <v>WO</v>
      </c>
      <c r="AE21" s="38" t="s">
        <v>43</v>
      </c>
      <c r="AF21" s="38" t="s">
        <v>43</v>
      </c>
      <c r="AG21" s="38" t="s">
        <v>43</v>
      </c>
      <c r="AH21" s="38" t="s">
        <v>43</v>
      </c>
      <c r="AI21" s="38" t="s">
        <v>43</v>
      </c>
      <c r="AJ21" s="38" t="s">
        <v>43</v>
      </c>
      <c r="AK21" s="38" t="str">
        <f t="shared" si="12"/>
        <v>WO</v>
      </c>
      <c r="AL21" s="38" t="s">
        <v>43</v>
      </c>
      <c r="AM21" s="38" t="s">
        <v>42</v>
      </c>
      <c r="AN21" s="38" t="s">
        <v>43</v>
      </c>
      <c r="AO21" s="39" t="s">
        <v>43</v>
      </c>
      <c r="AP21" s="31"/>
      <c r="AQ21" s="36"/>
      <c r="AR21" s="19">
        <v>13</v>
      </c>
      <c r="AS21" s="19">
        <v>1013</v>
      </c>
      <c r="AT21" s="19" t="str">
        <f t="shared" si="3"/>
        <v>July</v>
      </c>
      <c r="AU21" s="19" t="s">
        <v>15</v>
      </c>
      <c r="AV21" s="27">
        <f t="shared" si="4"/>
        <v>23</v>
      </c>
      <c r="AW21" s="22">
        <f t="shared" si="5"/>
        <v>1</v>
      </c>
      <c r="AX21" s="22">
        <f t="shared" si="6"/>
        <v>3</v>
      </c>
      <c r="AY21" s="22">
        <f t="shared" si="7"/>
        <v>4</v>
      </c>
      <c r="AZ21" s="22">
        <f t="shared" si="8"/>
        <v>31</v>
      </c>
      <c r="BA21" s="22">
        <f>Jul_Month[[#This Row],[Days]]-Jul_Month[[#This Row],[Absent]]</f>
        <v>30</v>
      </c>
      <c r="BB21" s="23">
        <v>42000</v>
      </c>
      <c r="BC21" s="23">
        <f>Jul_Month[[#This Row],[Salary]]/Jul_Month[[#This Row],[Days]]</f>
        <v>1354.8387096774193</v>
      </c>
      <c r="BD21" s="24">
        <f>Jul_Month[[#This Row],[PerDay Salary]]*Jul_Month[[#This Row],[Absent]]</f>
        <v>1354.8387096774193</v>
      </c>
      <c r="BE21" s="23">
        <f>Jul_Month[[#This Row],[Salary]]-Jul_Month[[#This Row],[Deduction]]</f>
        <v>40645.161290322583</v>
      </c>
      <c r="BF21" s="22"/>
      <c r="BG21" s="36"/>
    </row>
    <row r="22" spans="1:59" ht="15.75" x14ac:dyDescent="0.25">
      <c r="A22"/>
      <c r="B22"/>
      <c r="C22"/>
      <c r="D22" s="29"/>
      <c r="F22" s="31"/>
      <c r="G22" s="3">
        <v>14</v>
      </c>
      <c r="H22" s="4">
        <v>1014</v>
      </c>
      <c r="I22" s="5" t="s">
        <v>16</v>
      </c>
      <c r="J22" s="37">
        <f t="shared" si="9"/>
        <v>4</v>
      </c>
      <c r="K22" s="38" t="s">
        <v>43</v>
      </c>
      <c r="L22" s="38" t="s">
        <v>43</v>
      </c>
      <c r="M22" s="38" t="s">
        <v>43</v>
      </c>
      <c r="N22" s="38" t="s">
        <v>43</v>
      </c>
      <c r="O22" s="38" t="s">
        <v>43</v>
      </c>
      <c r="P22" s="38" t="str">
        <f t="shared" si="11"/>
        <v>WO</v>
      </c>
      <c r="Q22" s="38" t="s">
        <v>43</v>
      </c>
      <c r="R22" s="38" t="s">
        <v>44</v>
      </c>
      <c r="S22" s="38" t="s">
        <v>43</v>
      </c>
      <c r="T22" s="38" t="s">
        <v>43</v>
      </c>
      <c r="U22" s="38" t="s">
        <v>43</v>
      </c>
      <c r="V22" s="38" t="s">
        <v>42</v>
      </c>
      <c r="W22" s="38" t="str">
        <f t="shared" si="11"/>
        <v>WO</v>
      </c>
      <c r="X22" s="38" t="s">
        <v>43</v>
      </c>
      <c r="Y22" s="38" t="s">
        <v>43</v>
      </c>
      <c r="Z22" s="38" t="s">
        <v>43</v>
      </c>
      <c r="AA22" s="38" t="s">
        <v>43</v>
      </c>
      <c r="AB22" s="38" t="s">
        <v>42</v>
      </c>
      <c r="AC22" s="38" t="s">
        <v>43</v>
      </c>
      <c r="AD22" s="38" t="str">
        <f t="shared" si="12"/>
        <v>WO</v>
      </c>
      <c r="AE22" s="38" t="s">
        <v>43</v>
      </c>
      <c r="AF22" s="38" t="s">
        <v>43</v>
      </c>
      <c r="AG22" s="38" t="s">
        <v>43</v>
      </c>
      <c r="AH22" s="38" t="s">
        <v>43</v>
      </c>
      <c r="AI22" s="38" t="s">
        <v>43</v>
      </c>
      <c r="AJ22" s="38" t="s">
        <v>43</v>
      </c>
      <c r="AK22" s="38" t="str">
        <f t="shared" si="12"/>
        <v>WO</v>
      </c>
      <c r="AL22" s="38" t="s">
        <v>43</v>
      </c>
      <c r="AM22" s="38" t="s">
        <v>42</v>
      </c>
      <c r="AN22" s="38" t="s">
        <v>43</v>
      </c>
      <c r="AO22" s="39" t="s">
        <v>43</v>
      </c>
      <c r="AP22" s="31"/>
      <c r="AQ22" s="36"/>
      <c r="AR22" s="19">
        <v>14</v>
      </c>
      <c r="AS22" s="19">
        <v>1014</v>
      </c>
      <c r="AT22" s="19" t="str">
        <f t="shared" si="3"/>
        <v>July</v>
      </c>
      <c r="AU22" s="19" t="s">
        <v>16</v>
      </c>
      <c r="AV22" s="27">
        <f t="shared" si="4"/>
        <v>23</v>
      </c>
      <c r="AW22" s="22">
        <f t="shared" si="5"/>
        <v>1</v>
      </c>
      <c r="AX22" s="22">
        <f t="shared" si="6"/>
        <v>3</v>
      </c>
      <c r="AY22" s="22">
        <f t="shared" si="7"/>
        <v>4</v>
      </c>
      <c r="AZ22" s="22">
        <f t="shared" si="8"/>
        <v>31</v>
      </c>
      <c r="BA22" s="22">
        <f>Jul_Month[[#This Row],[Days]]-Jul_Month[[#This Row],[Absent]]</f>
        <v>30</v>
      </c>
      <c r="BB22" s="23">
        <v>15000</v>
      </c>
      <c r="BC22" s="23">
        <f>Jul_Month[[#This Row],[Salary]]/Jul_Month[[#This Row],[Days]]</f>
        <v>483.87096774193549</v>
      </c>
      <c r="BD22" s="24">
        <f>Jul_Month[[#This Row],[PerDay Salary]]*Jul_Month[[#This Row],[Absent]]</f>
        <v>483.87096774193549</v>
      </c>
      <c r="BE22" s="23">
        <f>Jul_Month[[#This Row],[Salary]]-Jul_Month[[#This Row],[Deduction]]</f>
        <v>14516.129032258064</v>
      </c>
      <c r="BF22" s="22"/>
      <c r="BG22" s="36"/>
    </row>
    <row r="23" spans="1:59" ht="15.75" x14ac:dyDescent="0.25">
      <c r="A23"/>
      <c r="B23"/>
      <c r="C23"/>
      <c r="D23" s="29"/>
      <c r="F23" s="31"/>
      <c r="G23" s="3">
        <v>15</v>
      </c>
      <c r="H23" s="4">
        <v>1015</v>
      </c>
      <c r="I23" s="5" t="s">
        <v>17</v>
      </c>
      <c r="J23" s="37">
        <f t="shared" si="9"/>
        <v>4</v>
      </c>
      <c r="K23" s="38" t="s">
        <v>43</v>
      </c>
      <c r="L23" s="38" t="s">
        <v>43</v>
      </c>
      <c r="M23" s="38" t="s">
        <v>43</v>
      </c>
      <c r="N23" s="38" t="s">
        <v>43</v>
      </c>
      <c r="O23" s="38" t="s">
        <v>43</v>
      </c>
      <c r="P23" s="38" t="str">
        <f t="shared" si="11"/>
        <v>WO</v>
      </c>
      <c r="Q23" s="38" t="s">
        <v>44</v>
      </c>
      <c r="R23" s="38" t="s">
        <v>43</v>
      </c>
      <c r="S23" s="38" t="s">
        <v>43</v>
      </c>
      <c r="T23" s="38" t="s">
        <v>43</v>
      </c>
      <c r="U23" s="38" t="s">
        <v>43</v>
      </c>
      <c r="V23" s="38" t="s">
        <v>42</v>
      </c>
      <c r="W23" s="38" t="str">
        <f t="shared" si="11"/>
        <v>WO</v>
      </c>
      <c r="X23" s="38" t="s">
        <v>43</v>
      </c>
      <c r="Y23" s="38" t="s">
        <v>43</v>
      </c>
      <c r="Z23" s="38" t="s">
        <v>43</v>
      </c>
      <c r="AA23" s="38" t="s">
        <v>43</v>
      </c>
      <c r="AB23" s="38" t="s">
        <v>42</v>
      </c>
      <c r="AC23" s="38" t="s">
        <v>44</v>
      </c>
      <c r="AD23" s="38" t="str">
        <f t="shared" si="12"/>
        <v>WO</v>
      </c>
      <c r="AE23" s="38" t="s">
        <v>43</v>
      </c>
      <c r="AF23" s="38" t="s">
        <v>43</v>
      </c>
      <c r="AG23" s="38" t="s">
        <v>43</v>
      </c>
      <c r="AH23" s="38" t="s">
        <v>43</v>
      </c>
      <c r="AI23" s="38" t="s">
        <v>43</v>
      </c>
      <c r="AJ23" s="38" t="s">
        <v>43</v>
      </c>
      <c r="AK23" s="38" t="str">
        <f t="shared" si="12"/>
        <v>WO</v>
      </c>
      <c r="AL23" s="38" t="s">
        <v>43</v>
      </c>
      <c r="AM23" s="38" t="s">
        <v>42</v>
      </c>
      <c r="AN23" s="38" t="s">
        <v>43</v>
      </c>
      <c r="AO23" s="39" t="s">
        <v>43</v>
      </c>
      <c r="AP23" s="31"/>
      <c r="AQ23" s="36"/>
      <c r="AR23" s="19">
        <v>15</v>
      </c>
      <c r="AS23" s="19">
        <v>1015</v>
      </c>
      <c r="AT23" s="19" t="str">
        <f t="shared" si="3"/>
        <v>July</v>
      </c>
      <c r="AU23" s="19" t="s">
        <v>17</v>
      </c>
      <c r="AV23" s="27">
        <f t="shared" si="4"/>
        <v>22</v>
      </c>
      <c r="AW23" s="22">
        <f t="shared" si="5"/>
        <v>2</v>
      </c>
      <c r="AX23" s="22">
        <f t="shared" si="6"/>
        <v>3</v>
      </c>
      <c r="AY23" s="22">
        <f t="shared" si="7"/>
        <v>4</v>
      </c>
      <c r="AZ23" s="22">
        <f t="shared" si="8"/>
        <v>31</v>
      </c>
      <c r="BA23" s="22">
        <f>Jul_Month[[#This Row],[Days]]-Jul_Month[[#This Row],[Absent]]</f>
        <v>29</v>
      </c>
      <c r="BB23" s="23">
        <v>46000</v>
      </c>
      <c r="BC23" s="23">
        <f>Jul_Month[[#This Row],[Salary]]/Jul_Month[[#This Row],[Days]]</f>
        <v>1483.8709677419354</v>
      </c>
      <c r="BD23" s="24">
        <f>Jul_Month[[#This Row],[PerDay Salary]]*Jul_Month[[#This Row],[Absent]]</f>
        <v>2967.7419354838707</v>
      </c>
      <c r="BE23" s="23">
        <f>Jul_Month[[#This Row],[Salary]]-Jul_Month[[#This Row],[Deduction]]</f>
        <v>43032.258064516129</v>
      </c>
      <c r="BF23" s="22"/>
      <c r="BG23" s="36"/>
    </row>
    <row r="24" spans="1:59" ht="15.75" x14ac:dyDescent="0.25">
      <c r="A24"/>
      <c r="B24"/>
      <c r="C24"/>
      <c r="D24" s="29"/>
      <c r="F24" s="31"/>
      <c r="G24" s="3">
        <v>16</v>
      </c>
      <c r="H24" s="4">
        <v>1016</v>
      </c>
      <c r="I24" s="5" t="s">
        <v>18</v>
      </c>
      <c r="J24" s="37">
        <f t="shared" si="9"/>
        <v>4</v>
      </c>
      <c r="K24" s="38" t="s">
        <v>43</v>
      </c>
      <c r="L24" s="38" t="s">
        <v>43</v>
      </c>
      <c r="M24" s="38" t="s">
        <v>43</v>
      </c>
      <c r="N24" s="38" t="s">
        <v>43</v>
      </c>
      <c r="O24" s="38" t="s">
        <v>44</v>
      </c>
      <c r="P24" s="38" t="str">
        <f t="shared" si="11"/>
        <v>WO</v>
      </c>
      <c r="Q24" s="38" t="s">
        <v>43</v>
      </c>
      <c r="R24" s="38" t="s">
        <v>43</v>
      </c>
      <c r="S24" s="38" t="s">
        <v>43</v>
      </c>
      <c r="T24" s="38" t="s">
        <v>43</v>
      </c>
      <c r="U24" s="38" t="s">
        <v>43</v>
      </c>
      <c r="V24" s="38" t="s">
        <v>42</v>
      </c>
      <c r="W24" s="38" t="str">
        <f t="shared" si="11"/>
        <v>WO</v>
      </c>
      <c r="X24" s="38" t="s">
        <v>43</v>
      </c>
      <c r="Y24" s="38" t="s">
        <v>43</v>
      </c>
      <c r="Z24" s="38" t="s">
        <v>43</v>
      </c>
      <c r="AA24" s="38" t="s">
        <v>43</v>
      </c>
      <c r="AB24" s="38" t="s">
        <v>42</v>
      </c>
      <c r="AC24" s="38" t="s">
        <v>43</v>
      </c>
      <c r="AD24" s="38" t="str">
        <f t="shared" si="12"/>
        <v>WO</v>
      </c>
      <c r="AE24" s="38" t="s">
        <v>43</v>
      </c>
      <c r="AF24" s="38" t="s">
        <v>43</v>
      </c>
      <c r="AG24" s="38" t="s">
        <v>43</v>
      </c>
      <c r="AH24" s="38" t="s">
        <v>43</v>
      </c>
      <c r="AI24" s="38" t="s">
        <v>43</v>
      </c>
      <c r="AJ24" s="38" t="s">
        <v>43</v>
      </c>
      <c r="AK24" s="38" t="str">
        <f t="shared" si="12"/>
        <v>WO</v>
      </c>
      <c r="AL24" s="38" t="s">
        <v>43</v>
      </c>
      <c r="AM24" s="38" t="s">
        <v>42</v>
      </c>
      <c r="AN24" s="38" t="s">
        <v>43</v>
      </c>
      <c r="AO24" s="39" t="s">
        <v>43</v>
      </c>
      <c r="AP24" s="31"/>
      <c r="AQ24" s="36"/>
      <c r="AR24" s="19">
        <v>16</v>
      </c>
      <c r="AS24" s="19">
        <v>1016</v>
      </c>
      <c r="AT24" s="19" t="str">
        <f t="shared" si="3"/>
        <v>July</v>
      </c>
      <c r="AU24" s="19" t="s">
        <v>18</v>
      </c>
      <c r="AV24" s="27">
        <f t="shared" si="4"/>
        <v>23</v>
      </c>
      <c r="AW24" s="22">
        <f t="shared" si="5"/>
        <v>1</v>
      </c>
      <c r="AX24" s="22">
        <f t="shared" si="6"/>
        <v>3</v>
      </c>
      <c r="AY24" s="22">
        <f t="shared" si="7"/>
        <v>4</v>
      </c>
      <c r="AZ24" s="22">
        <f t="shared" si="8"/>
        <v>31</v>
      </c>
      <c r="BA24" s="22">
        <f>Jul_Month[[#This Row],[Days]]-Jul_Month[[#This Row],[Absent]]</f>
        <v>30</v>
      </c>
      <c r="BB24" s="23">
        <v>52000</v>
      </c>
      <c r="BC24" s="23">
        <f>Jul_Month[[#This Row],[Salary]]/Jul_Month[[#This Row],[Days]]</f>
        <v>1677.4193548387098</v>
      </c>
      <c r="BD24" s="24">
        <f>Jul_Month[[#This Row],[PerDay Salary]]*Jul_Month[[#This Row],[Absent]]</f>
        <v>1677.4193548387098</v>
      </c>
      <c r="BE24" s="23">
        <f>Jul_Month[[#This Row],[Salary]]-Jul_Month[[#This Row],[Deduction]]</f>
        <v>50322.580645161288</v>
      </c>
      <c r="BF24" s="22"/>
      <c r="BG24" s="36"/>
    </row>
    <row r="25" spans="1:59" ht="15.75" x14ac:dyDescent="0.25">
      <c r="A25"/>
      <c r="B25"/>
      <c r="C25"/>
      <c r="D25" s="29"/>
      <c r="F25" s="31"/>
      <c r="G25" s="3">
        <v>17</v>
      </c>
      <c r="H25" s="4">
        <v>1017</v>
      </c>
      <c r="I25" s="5" t="s">
        <v>19</v>
      </c>
      <c r="J25" s="37">
        <f t="shared" si="9"/>
        <v>4</v>
      </c>
      <c r="K25" s="38" t="s">
        <v>43</v>
      </c>
      <c r="L25" s="38" t="s">
        <v>43</v>
      </c>
      <c r="M25" s="38" t="s">
        <v>43</v>
      </c>
      <c r="N25" s="38" t="s">
        <v>44</v>
      </c>
      <c r="O25" s="38" t="s">
        <v>43</v>
      </c>
      <c r="P25" s="38" t="str">
        <f t="shared" si="11"/>
        <v>WO</v>
      </c>
      <c r="Q25" s="38" t="s">
        <v>43</v>
      </c>
      <c r="R25" s="38" t="s">
        <v>43</v>
      </c>
      <c r="S25" s="38" t="s">
        <v>43</v>
      </c>
      <c r="T25" s="38" t="s">
        <v>43</v>
      </c>
      <c r="U25" s="38" t="s">
        <v>43</v>
      </c>
      <c r="V25" s="38" t="s">
        <v>42</v>
      </c>
      <c r="W25" s="38" t="str">
        <f t="shared" si="11"/>
        <v>WO</v>
      </c>
      <c r="X25" s="38" t="s">
        <v>43</v>
      </c>
      <c r="Y25" s="38" t="s">
        <v>43</v>
      </c>
      <c r="Z25" s="38" t="s">
        <v>43</v>
      </c>
      <c r="AA25" s="38" t="s">
        <v>43</v>
      </c>
      <c r="AB25" s="38" t="s">
        <v>42</v>
      </c>
      <c r="AC25" s="38" t="s">
        <v>43</v>
      </c>
      <c r="AD25" s="38" t="str">
        <f t="shared" si="12"/>
        <v>WO</v>
      </c>
      <c r="AE25" s="38" t="s">
        <v>43</v>
      </c>
      <c r="AF25" s="38" t="s">
        <v>43</v>
      </c>
      <c r="AG25" s="38" t="s">
        <v>43</v>
      </c>
      <c r="AH25" s="38" t="s">
        <v>43</v>
      </c>
      <c r="AI25" s="38" t="s">
        <v>43</v>
      </c>
      <c r="AJ25" s="38" t="s">
        <v>43</v>
      </c>
      <c r="AK25" s="38" t="str">
        <f t="shared" si="12"/>
        <v>WO</v>
      </c>
      <c r="AL25" s="38" t="s">
        <v>43</v>
      </c>
      <c r="AM25" s="38" t="s">
        <v>42</v>
      </c>
      <c r="AN25" s="38" t="s">
        <v>43</v>
      </c>
      <c r="AO25" s="39" t="s">
        <v>43</v>
      </c>
      <c r="AP25" s="31"/>
      <c r="AQ25" s="36"/>
      <c r="AR25" s="19">
        <v>17</v>
      </c>
      <c r="AS25" s="19">
        <v>1017</v>
      </c>
      <c r="AT25" s="19" t="str">
        <f t="shared" si="3"/>
        <v>July</v>
      </c>
      <c r="AU25" s="19" t="s">
        <v>19</v>
      </c>
      <c r="AV25" s="27">
        <f t="shared" si="4"/>
        <v>23</v>
      </c>
      <c r="AW25" s="22">
        <f t="shared" si="5"/>
        <v>1</v>
      </c>
      <c r="AX25" s="22">
        <f t="shared" si="6"/>
        <v>3</v>
      </c>
      <c r="AY25" s="22">
        <f t="shared" si="7"/>
        <v>4</v>
      </c>
      <c r="AZ25" s="22">
        <f t="shared" si="8"/>
        <v>31</v>
      </c>
      <c r="BA25" s="22">
        <f>Jul_Month[[#This Row],[Days]]-Jul_Month[[#This Row],[Absent]]</f>
        <v>30</v>
      </c>
      <c r="BB25" s="23">
        <v>42000</v>
      </c>
      <c r="BC25" s="23">
        <f>Jul_Month[[#This Row],[Salary]]/Jul_Month[[#This Row],[Days]]</f>
        <v>1354.8387096774193</v>
      </c>
      <c r="BD25" s="24">
        <f>Jul_Month[[#This Row],[PerDay Salary]]*Jul_Month[[#This Row],[Absent]]</f>
        <v>1354.8387096774193</v>
      </c>
      <c r="BE25" s="23">
        <f>Jul_Month[[#This Row],[Salary]]-Jul_Month[[#This Row],[Deduction]]</f>
        <v>40645.161290322583</v>
      </c>
      <c r="BF25" s="22"/>
      <c r="BG25" s="36"/>
    </row>
    <row r="26" spans="1:59" ht="15.75" x14ac:dyDescent="0.25">
      <c r="A26"/>
      <c r="B26"/>
      <c r="C26"/>
      <c r="D26" s="29"/>
      <c r="F26" s="31"/>
      <c r="G26" s="3">
        <v>18</v>
      </c>
      <c r="H26" s="4">
        <v>1018</v>
      </c>
      <c r="I26" s="5" t="s">
        <v>20</v>
      </c>
      <c r="J26" s="37">
        <f t="shared" si="9"/>
        <v>4</v>
      </c>
      <c r="K26" s="38" t="s">
        <v>43</v>
      </c>
      <c r="L26" s="38" t="s">
        <v>43</v>
      </c>
      <c r="M26" s="38" t="s">
        <v>44</v>
      </c>
      <c r="N26" s="38" t="s">
        <v>43</v>
      </c>
      <c r="O26" s="38" t="s">
        <v>43</v>
      </c>
      <c r="P26" s="38" t="str">
        <f t="shared" si="11"/>
        <v>WO</v>
      </c>
      <c r="Q26" s="38" t="s">
        <v>43</v>
      </c>
      <c r="R26" s="38" t="s">
        <v>43</v>
      </c>
      <c r="S26" s="38" t="s">
        <v>43</v>
      </c>
      <c r="T26" s="38" t="s">
        <v>43</v>
      </c>
      <c r="U26" s="38" t="s">
        <v>43</v>
      </c>
      <c r="V26" s="38" t="s">
        <v>42</v>
      </c>
      <c r="W26" s="38" t="str">
        <f t="shared" si="11"/>
        <v>WO</v>
      </c>
      <c r="X26" s="38" t="s">
        <v>43</v>
      </c>
      <c r="Y26" s="38" t="s">
        <v>43</v>
      </c>
      <c r="Z26" s="38" t="s">
        <v>43</v>
      </c>
      <c r="AA26" s="38" t="s">
        <v>43</v>
      </c>
      <c r="AB26" s="38" t="s">
        <v>42</v>
      </c>
      <c r="AC26" s="38" t="s">
        <v>43</v>
      </c>
      <c r="AD26" s="38" t="str">
        <f t="shared" si="12"/>
        <v>WO</v>
      </c>
      <c r="AE26" s="38" t="s">
        <v>43</v>
      </c>
      <c r="AF26" s="38" t="s">
        <v>43</v>
      </c>
      <c r="AG26" s="38" t="s">
        <v>43</v>
      </c>
      <c r="AH26" s="38" t="s">
        <v>43</v>
      </c>
      <c r="AI26" s="38" t="s">
        <v>43</v>
      </c>
      <c r="AJ26" s="38" t="s">
        <v>43</v>
      </c>
      <c r="AK26" s="38" t="str">
        <f t="shared" si="12"/>
        <v>WO</v>
      </c>
      <c r="AL26" s="38" t="s">
        <v>43</v>
      </c>
      <c r="AM26" s="38" t="s">
        <v>42</v>
      </c>
      <c r="AN26" s="38" t="s">
        <v>43</v>
      </c>
      <c r="AO26" s="39" t="s">
        <v>44</v>
      </c>
      <c r="AP26" s="31"/>
      <c r="AQ26" s="36"/>
      <c r="AR26" s="19">
        <v>18</v>
      </c>
      <c r="AS26" s="19">
        <v>1018</v>
      </c>
      <c r="AT26" s="19" t="str">
        <f t="shared" si="3"/>
        <v>July</v>
      </c>
      <c r="AU26" s="19" t="s">
        <v>20</v>
      </c>
      <c r="AV26" s="27">
        <f t="shared" si="4"/>
        <v>22</v>
      </c>
      <c r="AW26" s="22">
        <f t="shared" si="5"/>
        <v>2</v>
      </c>
      <c r="AX26" s="22">
        <f t="shared" si="6"/>
        <v>3</v>
      </c>
      <c r="AY26" s="22">
        <f t="shared" si="7"/>
        <v>4</v>
      </c>
      <c r="AZ26" s="22">
        <f t="shared" si="8"/>
        <v>31</v>
      </c>
      <c r="BA26" s="22">
        <f>Jul_Month[[#This Row],[Days]]-Jul_Month[[#This Row],[Absent]]</f>
        <v>29</v>
      </c>
      <c r="BB26" s="23">
        <v>62000</v>
      </c>
      <c r="BC26" s="23">
        <f>Jul_Month[[#This Row],[Salary]]/Jul_Month[[#This Row],[Days]]</f>
        <v>2000</v>
      </c>
      <c r="BD26" s="24">
        <f>Jul_Month[[#This Row],[PerDay Salary]]*Jul_Month[[#This Row],[Absent]]</f>
        <v>4000</v>
      </c>
      <c r="BE26" s="23">
        <f>Jul_Month[[#This Row],[Salary]]-Jul_Month[[#This Row],[Deduction]]</f>
        <v>58000</v>
      </c>
      <c r="BF26" s="22"/>
      <c r="BG26" s="36"/>
    </row>
    <row r="27" spans="1:59" ht="15.75" x14ac:dyDescent="0.25">
      <c r="A27"/>
      <c r="B27"/>
      <c r="C27"/>
      <c r="D27" s="29"/>
      <c r="F27" s="31"/>
      <c r="G27" s="3">
        <v>19</v>
      </c>
      <c r="H27" s="4">
        <v>1019</v>
      </c>
      <c r="I27" s="5" t="s">
        <v>21</v>
      </c>
      <c r="J27" s="37">
        <f t="shared" si="9"/>
        <v>4</v>
      </c>
      <c r="K27" s="38" t="s">
        <v>43</v>
      </c>
      <c r="L27" s="38" t="s">
        <v>44</v>
      </c>
      <c r="M27" s="38" t="s">
        <v>43</v>
      </c>
      <c r="N27" s="38" t="s">
        <v>43</v>
      </c>
      <c r="O27" s="38" t="s">
        <v>43</v>
      </c>
      <c r="P27" s="38" t="str">
        <f t="shared" si="11"/>
        <v>WO</v>
      </c>
      <c r="Q27" s="38" t="s">
        <v>43</v>
      </c>
      <c r="R27" s="38" t="s">
        <v>43</v>
      </c>
      <c r="S27" s="38" t="s">
        <v>43</v>
      </c>
      <c r="T27" s="38" t="s">
        <v>43</v>
      </c>
      <c r="U27" s="38" t="s">
        <v>43</v>
      </c>
      <c r="V27" s="38" t="s">
        <v>42</v>
      </c>
      <c r="W27" s="38" t="str">
        <f t="shared" si="11"/>
        <v>WO</v>
      </c>
      <c r="X27" s="38" t="s">
        <v>43</v>
      </c>
      <c r="Y27" s="38" t="s">
        <v>43</v>
      </c>
      <c r="Z27" s="38" t="s">
        <v>43</v>
      </c>
      <c r="AA27" s="38" t="s">
        <v>43</v>
      </c>
      <c r="AB27" s="38" t="s">
        <v>42</v>
      </c>
      <c r="AC27" s="38" t="s">
        <v>43</v>
      </c>
      <c r="AD27" s="38" t="str">
        <f t="shared" si="12"/>
        <v>WO</v>
      </c>
      <c r="AE27" s="38" t="s">
        <v>43</v>
      </c>
      <c r="AF27" s="38" t="s">
        <v>43</v>
      </c>
      <c r="AG27" s="38" t="s">
        <v>43</v>
      </c>
      <c r="AH27" s="38" t="s">
        <v>43</v>
      </c>
      <c r="AI27" s="38" t="s">
        <v>43</v>
      </c>
      <c r="AJ27" s="38" t="s">
        <v>43</v>
      </c>
      <c r="AK27" s="38" t="str">
        <f t="shared" si="12"/>
        <v>WO</v>
      </c>
      <c r="AL27" s="38" t="s">
        <v>43</v>
      </c>
      <c r="AM27" s="38" t="s">
        <v>42</v>
      </c>
      <c r="AN27" s="38" t="s">
        <v>43</v>
      </c>
      <c r="AO27" s="39" t="s">
        <v>43</v>
      </c>
      <c r="AP27" s="31"/>
      <c r="AQ27" s="36"/>
      <c r="AR27" s="19">
        <v>19</v>
      </c>
      <c r="AS27" s="19">
        <v>1019</v>
      </c>
      <c r="AT27" s="19" t="str">
        <f t="shared" si="3"/>
        <v>July</v>
      </c>
      <c r="AU27" s="19" t="s">
        <v>21</v>
      </c>
      <c r="AV27" s="27">
        <f t="shared" si="4"/>
        <v>23</v>
      </c>
      <c r="AW27" s="22">
        <f t="shared" si="5"/>
        <v>1</v>
      </c>
      <c r="AX27" s="22">
        <f t="shared" si="6"/>
        <v>3</v>
      </c>
      <c r="AY27" s="22">
        <f t="shared" si="7"/>
        <v>4</v>
      </c>
      <c r="AZ27" s="22">
        <f t="shared" si="8"/>
        <v>31</v>
      </c>
      <c r="BA27" s="22">
        <f>Jul_Month[[#This Row],[Days]]-Jul_Month[[#This Row],[Absent]]</f>
        <v>30</v>
      </c>
      <c r="BB27" s="23">
        <v>41000</v>
      </c>
      <c r="BC27" s="23">
        <f>Jul_Month[[#This Row],[Salary]]/Jul_Month[[#This Row],[Days]]</f>
        <v>1322.5806451612902</v>
      </c>
      <c r="BD27" s="24">
        <f>Jul_Month[[#This Row],[PerDay Salary]]*Jul_Month[[#This Row],[Absent]]</f>
        <v>1322.5806451612902</v>
      </c>
      <c r="BE27" s="23">
        <f>Jul_Month[[#This Row],[Salary]]-Jul_Month[[#This Row],[Deduction]]</f>
        <v>39677.419354838712</v>
      </c>
      <c r="BF27" s="22"/>
      <c r="BG27" s="36"/>
    </row>
    <row r="28" spans="1:59" ht="16.5" thickBot="1" x14ac:dyDescent="0.3">
      <c r="A28"/>
      <c r="B28"/>
      <c r="C28"/>
      <c r="D28" s="29"/>
      <c r="F28" s="31"/>
      <c r="G28" s="6">
        <v>20</v>
      </c>
      <c r="H28" s="7">
        <v>1020</v>
      </c>
      <c r="I28" s="8" t="s">
        <v>22</v>
      </c>
      <c r="J28" s="40">
        <f t="shared" si="9"/>
        <v>4</v>
      </c>
      <c r="K28" s="41" t="s">
        <v>44</v>
      </c>
      <c r="L28" s="41" t="s">
        <v>43</v>
      </c>
      <c r="M28" s="41" t="s">
        <v>43</v>
      </c>
      <c r="N28" s="41" t="s">
        <v>43</v>
      </c>
      <c r="O28" s="41" t="s">
        <v>43</v>
      </c>
      <c r="P28" s="41" t="str">
        <f t="shared" si="11"/>
        <v>WO</v>
      </c>
      <c r="Q28" s="41" t="s">
        <v>43</v>
      </c>
      <c r="R28" s="41" t="s">
        <v>43</v>
      </c>
      <c r="S28" s="41" t="s">
        <v>43</v>
      </c>
      <c r="T28" s="41" t="s">
        <v>43</v>
      </c>
      <c r="U28" s="41" t="s">
        <v>43</v>
      </c>
      <c r="V28" s="41" t="s">
        <v>42</v>
      </c>
      <c r="W28" s="41" t="str">
        <f t="shared" si="11"/>
        <v>WO</v>
      </c>
      <c r="X28" s="41" t="s">
        <v>43</v>
      </c>
      <c r="Y28" s="41" t="s">
        <v>43</v>
      </c>
      <c r="Z28" s="41" t="s">
        <v>43</v>
      </c>
      <c r="AA28" s="41" t="s">
        <v>43</v>
      </c>
      <c r="AB28" s="41" t="s">
        <v>42</v>
      </c>
      <c r="AC28" s="41" t="s">
        <v>43</v>
      </c>
      <c r="AD28" s="41" t="str">
        <f t="shared" si="12"/>
        <v>WO</v>
      </c>
      <c r="AE28" s="41" t="s">
        <v>43</v>
      </c>
      <c r="AF28" s="41" t="s">
        <v>43</v>
      </c>
      <c r="AG28" s="41" t="s">
        <v>43</v>
      </c>
      <c r="AH28" s="41" t="s">
        <v>43</v>
      </c>
      <c r="AI28" s="41" t="s">
        <v>43</v>
      </c>
      <c r="AJ28" s="41" t="s">
        <v>43</v>
      </c>
      <c r="AK28" s="41" t="str">
        <f t="shared" si="12"/>
        <v>WO</v>
      </c>
      <c r="AL28" s="41" t="s">
        <v>43</v>
      </c>
      <c r="AM28" s="41" t="s">
        <v>42</v>
      </c>
      <c r="AN28" s="41" t="s">
        <v>43</v>
      </c>
      <c r="AO28" s="42" t="s">
        <v>43</v>
      </c>
      <c r="AP28" s="31"/>
      <c r="AQ28" s="36"/>
      <c r="AR28" s="19">
        <v>20</v>
      </c>
      <c r="AS28" s="19">
        <v>1020</v>
      </c>
      <c r="AT28" s="19" t="str">
        <f t="shared" si="3"/>
        <v>July</v>
      </c>
      <c r="AU28" s="19" t="s">
        <v>22</v>
      </c>
      <c r="AV28" s="27">
        <f t="shared" si="4"/>
        <v>23</v>
      </c>
      <c r="AW28" s="22">
        <f t="shared" si="5"/>
        <v>1</v>
      </c>
      <c r="AX28" s="22">
        <f t="shared" si="6"/>
        <v>3</v>
      </c>
      <c r="AY28" s="22">
        <f t="shared" si="7"/>
        <v>4</v>
      </c>
      <c r="AZ28" s="22">
        <f t="shared" si="8"/>
        <v>31</v>
      </c>
      <c r="BA28" s="22">
        <f>Jul_Month[[#This Row],[Days]]-Jul_Month[[#This Row],[Absent]]</f>
        <v>30</v>
      </c>
      <c r="BB28" s="23">
        <v>30000</v>
      </c>
      <c r="BC28" s="23">
        <f>Jul_Month[[#This Row],[Salary]]/Jul_Month[[#This Row],[Days]]</f>
        <v>967.74193548387098</v>
      </c>
      <c r="BD28" s="24">
        <f>Jul_Month[[#This Row],[PerDay Salary]]*Jul_Month[[#This Row],[Absent]]</f>
        <v>967.74193548387098</v>
      </c>
      <c r="BE28" s="23">
        <f>Jul_Month[[#This Row],[Salary]]-Jul_Month[[#This Row],[Deduction]]</f>
        <v>29032.258064516129</v>
      </c>
      <c r="BF28" s="22"/>
      <c r="BG28" s="36"/>
    </row>
    <row r="29" spans="1:59" ht="15.75" thickTop="1" x14ac:dyDescent="0.25">
      <c r="A29"/>
      <c r="B29"/>
      <c r="C29"/>
      <c r="D29" s="29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x14ac:dyDescent="0.25">
      <c r="D30" s="29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</row>
    <row r="31" spans="1:59" x14ac:dyDescent="0.25">
      <c r="D31" s="29"/>
    </row>
    <row r="32" spans="1:59" x14ac:dyDescent="0.25">
      <c r="D32" s="29"/>
    </row>
    <row r="33" spans="4:4" x14ac:dyDescent="0.25">
      <c r="D33" s="29"/>
    </row>
    <row r="34" spans="4:4" x14ac:dyDescent="0.25">
      <c r="D34" s="29"/>
    </row>
    <row r="35" spans="4:4" x14ac:dyDescent="0.25">
      <c r="D35" s="29"/>
    </row>
    <row r="36" spans="4:4" x14ac:dyDescent="0.25">
      <c r="D36" s="29"/>
    </row>
    <row r="37" spans="4:4" x14ac:dyDescent="0.25">
      <c r="D37" s="29"/>
    </row>
    <row r="38" spans="4:4" x14ac:dyDescent="0.25">
      <c r="D38" s="29"/>
    </row>
    <row r="39" spans="4:4" x14ac:dyDescent="0.25">
      <c r="D39" s="29"/>
    </row>
    <row r="40" spans="4:4" x14ac:dyDescent="0.25">
      <c r="D40" s="29"/>
    </row>
    <row r="41" spans="4:4" x14ac:dyDescent="0.25">
      <c r="D41" s="29"/>
    </row>
    <row r="42" spans="4:4" x14ac:dyDescent="0.25">
      <c r="D42" s="29"/>
    </row>
    <row r="43" spans="4:4" x14ac:dyDescent="0.25">
      <c r="D43" s="29"/>
    </row>
    <row r="44" spans="4:4" x14ac:dyDescent="0.25">
      <c r="D44" s="29"/>
    </row>
    <row r="45" spans="4:4" x14ac:dyDescent="0.25">
      <c r="D45" s="29"/>
    </row>
    <row r="46" spans="4:4" x14ac:dyDescent="0.25">
      <c r="D46" s="29"/>
    </row>
    <row r="47" spans="4:4" x14ac:dyDescent="0.25">
      <c r="D47" s="29"/>
    </row>
    <row r="48" spans="4:4" x14ac:dyDescent="0.25">
      <c r="D48" s="29"/>
    </row>
  </sheetData>
  <mergeCells count="1">
    <mergeCell ref="G7:I7"/>
  </mergeCells>
  <conditionalFormatting sqref="K9:AO28">
    <cfRule type="containsText" dxfId="143" priority="1" operator="containsText" text="L">
      <formula>NOT(ISERROR(SEARCH("L",K9)))</formula>
    </cfRule>
    <cfRule type="containsText" dxfId="142" priority="2" operator="containsText" text="A">
      <formula>NOT(ISERROR(SEARCH("A",K9)))</formula>
    </cfRule>
    <cfRule type="containsText" dxfId="141" priority="3" operator="containsText" text="P">
      <formula>NOT(ISERROR(SEARCH("P",K9)))</formula>
    </cfRule>
    <cfRule type="containsText" dxfId="140" priority="4" operator="containsText" text="WO">
      <formula>NOT(ISERROR(SEARCH("WO",K9)))</formula>
    </cfRule>
    <cfRule type="containsText" dxfId="139" priority="5" operator="containsText" text="WO">
      <formula>NOT(ISERROR(SEARCH("WO",K9)))</formula>
    </cfRule>
  </conditionalFormatting>
  <dataValidations count="1">
    <dataValidation type="list" allowBlank="1" showInputMessage="1" showErrorMessage="1" sqref="X9:AC28 Q9:V28 K9:O28 AE9:AJ28 AL9:AO28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Jul!AV9:AY9</xm:f>
              <xm:sqref>BF9</xm:sqref>
            </x14:sparkline>
            <x14:sparkline>
              <xm:f>Jul!AV10:AY10</xm:f>
              <xm:sqref>BF10</xm:sqref>
            </x14:sparkline>
            <x14:sparkline>
              <xm:f>Jul!AV11:AY11</xm:f>
              <xm:sqref>BF11</xm:sqref>
            </x14:sparkline>
            <x14:sparkline>
              <xm:f>Jul!AV12:AY12</xm:f>
              <xm:sqref>BF12</xm:sqref>
            </x14:sparkline>
            <x14:sparkline>
              <xm:f>Jul!AV13:AY13</xm:f>
              <xm:sqref>BF13</xm:sqref>
            </x14:sparkline>
            <x14:sparkline>
              <xm:f>Jul!AV14:AY14</xm:f>
              <xm:sqref>BF14</xm:sqref>
            </x14:sparkline>
            <x14:sparkline>
              <xm:f>Jul!AV15:AY15</xm:f>
              <xm:sqref>BF15</xm:sqref>
            </x14:sparkline>
            <x14:sparkline>
              <xm:f>Jul!AV16:AY16</xm:f>
              <xm:sqref>BF16</xm:sqref>
            </x14:sparkline>
            <x14:sparkline>
              <xm:f>Jul!AV17:AY17</xm:f>
              <xm:sqref>BF17</xm:sqref>
            </x14:sparkline>
            <x14:sparkline>
              <xm:f>Jul!AV18:AY18</xm:f>
              <xm:sqref>BF18</xm:sqref>
            </x14:sparkline>
            <x14:sparkline>
              <xm:f>Jul!AV19:AY19</xm:f>
              <xm:sqref>BF19</xm:sqref>
            </x14:sparkline>
            <x14:sparkline>
              <xm:f>Jul!AV20:AY20</xm:f>
              <xm:sqref>BF20</xm:sqref>
            </x14:sparkline>
            <x14:sparkline>
              <xm:f>Jul!AV21:AY21</xm:f>
              <xm:sqref>BF21</xm:sqref>
            </x14:sparkline>
            <x14:sparkline>
              <xm:f>Jul!AV22:AY22</xm:f>
              <xm:sqref>BF22</xm:sqref>
            </x14:sparkline>
            <x14:sparkline>
              <xm:f>Jul!AV23:AY23</xm:f>
              <xm:sqref>BF23</xm:sqref>
            </x14:sparkline>
            <x14:sparkline>
              <xm:f>Jul!AV24:AY24</xm:f>
              <xm:sqref>BF24</xm:sqref>
            </x14:sparkline>
            <x14:sparkline>
              <xm:f>Jul!AV25:AY25</xm:f>
              <xm:sqref>BF25</xm:sqref>
            </x14:sparkline>
            <x14:sparkline>
              <xm:f>Jul!AV26:AY26</xm:f>
              <xm:sqref>BF26</xm:sqref>
            </x14:sparkline>
            <x14:sparkline>
              <xm:f>Jul!AV27:AY27</xm:f>
              <xm:sqref>BF27</xm:sqref>
            </x14:sparkline>
            <x14:sparkline>
              <xm:f>Jul!AV28:AY28</xm:f>
              <xm:sqref>BF28</xm:sqref>
            </x14:sparkline>
          </x14:sparklines>
        </x14:sparklineGroup>
      </x14:sparklineGroup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tabSelected="1" zoomScale="70" zoomScaleNormal="70" workbookViewId="0">
      <selection activeCell="T4" sqref="T4"/>
    </sheetView>
  </sheetViews>
  <sheetFormatPr defaultRowHeight="15" x14ac:dyDescent="0.25"/>
  <cols>
    <col min="1" max="3" width="9.140625" style="48"/>
    <col min="4" max="4" width="9.140625" style="47"/>
    <col min="5" max="6" width="9.140625" style="48"/>
    <col min="7" max="7" width="9.140625" style="48" customWidth="1"/>
    <col min="8" max="8" width="13.140625" style="48" bestFit="1" customWidth="1"/>
    <col min="9" max="9" width="18.85546875" style="48" customWidth="1"/>
    <col min="10" max="10" width="10" style="48" bestFit="1" customWidth="1"/>
    <col min="11" max="11" width="5.7109375" style="48" customWidth="1"/>
    <col min="12" max="12" width="4.85546875" style="48" customWidth="1"/>
    <col min="13" max="13" width="5.7109375" style="48" bestFit="1" customWidth="1"/>
    <col min="14" max="14" width="4.28515625" style="48" customWidth="1"/>
    <col min="15" max="15" width="4.85546875" style="48" customWidth="1"/>
    <col min="16" max="16" width="5.5703125" style="48" customWidth="1"/>
    <col min="17" max="17" width="4.85546875" style="48" customWidth="1"/>
    <col min="18" max="18" width="5.7109375" style="48" customWidth="1"/>
    <col min="19" max="19" width="4.85546875" style="48" customWidth="1"/>
    <col min="20" max="20" width="5.7109375" style="48" bestFit="1" customWidth="1"/>
    <col min="21" max="21" width="4.28515625" style="48" customWidth="1"/>
    <col min="22" max="22" width="4.85546875" style="48" customWidth="1"/>
    <col min="23" max="23" width="5.5703125" style="48" customWidth="1"/>
    <col min="24" max="24" width="4.85546875" style="48" customWidth="1"/>
    <col min="25" max="25" width="5.7109375" style="48" customWidth="1"/>
    <col min="26" max="26" width="4.85546875" style="48" customWidth="1"/>
    <col min="27" max="27" width="5.7109375" style="48" bestFit="1" customWidth="1"/>
    <col min="28" max="28" width="4.28515625" style="48" customWidth="1"/>
    <col min="29" max="29" width="4.85546875" style="48" customWidth="1"/>
    <col min="30" max="30" width="5.5703125" style="48" customWidth="1"/>
    <col min="31" max="31" width="4.85546875" style="48" customWidth="1"/>
    <col min="32" max="32" width="5.7109375" style="48" customWidth="1"/>
    <col min="33" max="33" width="4.85546875" style="48" customWidth="1"/>
    <col min="34" max="34" width="5.7109375" style="48" bestFit="1" customWidth="1"/>
    <col min="35" max="35" width="4.28515625" style="48" customWidth="1"/>
    <col min="36" max="36" width="4.85546875" style="48" customWidth="1"/>
    <col min="37" max="37" width="5.5703125" style="48" customWidth="1"/>
    <col min="38" max="38" width="4.85546875" style="48" customWidth="1"/>
    <col min="39" max="39" width="5.7109375" style="48" customWidth="1"/>
    <col min="40" max="40" width="4.85546875" style="48" customWidth="1"/>
    <col min="41" max="41" width="5.7109375" style="48" bestFit="1" customWidth="1"/>
    <col min="42" max="43" width="9.140625" style="48"/>
    <col min="44" max="44" width="7.28515625" style="48" customWidth="1"/>
    <col min="45" max="46" width="14.140625" style="48" customWidth="1"/>
    <col min="47" max="47" width="17.85546875" style="48" customWidth="1"/>
    <col min="48" max="48" width="9.85546875" style="48" customWidth="1"/>
    <col min="49" max="49" width="9.28515625" style="48" customWidth="1"/>
    <col min="50" max="50" width="9.140625" style="48"/>
    <col min="51" max="51" width="11.85546875" style="48" customWidth="1"/>
    <col min="52" max="52" width="9.140625" style="48"/>
    <col min="53" max="53" width="12" style="48" customWidth="1"/>
    <col min="54" max="54" width="12.42578125" style="48" bestFit="1" customWidth="1"/>
    <col min="55" max="55" width="15.7109375" style="48" customWidth="1"/>
    <col min="56" max="56" width="12.140625" style="48" customWidth="1"/>
    <col min="57" max="57" width="13.7109375" style="48" customWidth="1"/>
    <col min="58" max="58" width="15.5703125" style="48" bestFit="1" customWidth="1"/>
    <col min="59" max="16384" width="9.140625" style="48"/>
  </cols>
  <sheetData>
    <row r="1" spans="1:59" x14ac:dyDescent="0.25">
      <c r="A1" s="47"/>
      <c r="B1" s="47"/>
      <c r="C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</row>
    <row r="2" spans="1:59" x14ac:dyDescent="0.25">
      <c r="A2" s="47"/>
      <c r="B2" s="47"/>
      <c r="C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</row>
    <row r="3" spans="1:59" x14ac:dyDescent="0.25">
      <c r="A3" s="47"/>
      <c r="B3" s="47"/>
      <c r="C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</row>
    <row r="4" spans="1:59" x14ac:dyDescent="0.25">
      <c r="A4" s="47"/>
      <c r="B4" s="47"/>
      <c r="C4" s="47"/>
      <c r="D4" s="48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 s="47"/>
      <c r="B5" s="47"/>
      <c r="C5" s="47"/>
      <c r="D5" s="48"/>
      <c r="F5" s="43"/>
      <c r="G5" s="43" t="s">
        <v>27</v>
      </c>
      <c r="H5" s="44">
        <v>45870</v>
      </c>
      <c r="I5" s="43">
        <f>(DATEDIF($H$5,$L$5,"D"))+1</f>
        <v>31</v>
      </c>
      <c r="J5" s="43" t="str">
        <f>TEXT(H5,"MMMM")</f>
        <v>August</v>
      </c>
      <c r="K5" s="43" t="s">
        <v>28</v>
      </c>
      <c r="L5" s="44">
        <f>EOMONTH(H5,0)</f>
        <v>45900</v>
      </c>
      <c r="M5" s="43"/>
      <c r="BD5" s="49"/>
    </row>
    <row r="6" spans="1:59" ht="15.75" thickBot="1" x14ac:dyDescent="0.3">
      <c r="A6" s="47"/>
      <c r="B6" s="47"/>
      <c r="C6" s="47"/>
      <c r="D6" s="48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16.5" thickTop="1" x14ac:dyDescent="0.25">
      <c r="A7" s="47"/>
      <c r="B7" s="47"/>
      <c r="C7" s="47"/>
      <c r="D7" s="48"/>
      <c r="F7" s="50"/>
      <c r="G7" s="56" t="s">
        <v>30</v>
      </c>
      <c r="H7" s="57"/>
      <c r="I7" s="58"/>
      <c r="J7" s="15" t="s">
        <v>29</v>
      </c>
      <c r="K7" s="16" t="str">
        <f>TEXT(K8,"DDD")</f>
        <v>Fri</v>
      </c>
      <c r="L7" s="16" t="str">
        <f t="shared" ref="L7:AO7" si="0">TEXT(L8,"DDD")</f>
        <v>Sat</v>
      </c>
      <c r="M7" s="16" t="str">
        <f t="shared" si="0"/>
        <v>Sun</v>
      </c>
      <c r="N7" s="16" t="str">
        <f t="shared" si="0"/>
        <v>Mon</v>
      </c>
      <c r="O7" s="16" t="str">
        <f t="shared" si="0"/>
        <v>Tue</v>
      </c>
      <c r="P7" s="16" t="str">
        <f t="shared" si="0"/>
        <v>Wed</v>
      </c>
      <c r="Q7" s="16" t="str">
        <f t="shared" si="0"/>
        <v>Thu</v>
      </c>
      <c r="R7" s="16" t="str">
        <f t="shared" si="0"/>
        <v>Fri</v>
      </c>
      <c r="S7" s="16" t="str">
        <f t="shared" si="0"/>
        <v>Sat</v>
      </c>
      <c r="T7" s="16" t="str">
        <f t="shared" si="0"/>
        <v>Sun</v>
      </c>
      <c r="U7" s="16" t="str">
        <f t="shared" si="0"/>
        <v>Mon</v>
      </c>
      <c r="V7" s="16" t="str">
        <f t="shared" si="0"/>
        <v>Tue</v>
      </c>
      <c r="W7" s="16" t="str">
        <f t="shared" si="0"/>
        <v>Wed</v>
      </c>
      <c r="X7" s="16" t="str">
        <f t="shared" si="0"/>
        <v>Thu</v>
      </c>
      <c r="Y7" s="16" t="str">
        <f t="shared" si="0"/>
        <v>Fri</v>
      </c>
      <c r="Z7" s="16" t="str">
        <f t="shared" si="0"/>
        <v>Sat</v>
      </c>
      <c r="AA7" s="16" t="str">
        <f t="shared" si="0"/>
        <v>Sun</v>
      </c>
      <c r="AB7" s="16" t="str">
        <f t="shared" si="0"/>
        <v>Mon</v>
      </c>
      <c r="AC7" s="16" t="str">
        <f t="shared" si="0"/>
        <v>Tue</v>
      </c>
      <c r="AD7" s="16" t="str">
        <f t="shared" si="0"/>
        <v>Wed</v>
      </c>
      <c r="AE7" s="16" t="str">
        <f t="shared" si="0"/>
        <v>Thu</v>
      </c>
      <c r="AF7" s="16" t="str">
        <f t="shared" si="0"/>
        <v>Fri</v>
      </c>
      <c r="AG7" s="16" t="str">
        <f t="shared" si="0"/>
        <v>Sat</v>
      </c>
      <c r="AH7" s="16" t="str">
        <f t="shared" si="0"/>
        <v>Sun</v>
      </c>
      <c r="AI7" s="16" t="str">
        <f t="shared" si="0"/>
        <v>Mon</v>
      </c>
      <c r="AJ7" s="16" t="str">
        <f t="shared" si="0"/>
        <v>Tue</v>
      </c>
      <c r="AK7" s="16" t="str">
        <f t="shared" si="0"/>
        <v>Wed</v>
      </c>
      <c r="AL7" s="16" t="str">
        <f t="shared" si="0"/>
        <v>Thu</v>
      </c>
      <c r="AM7" s="16" t="str">
        <f t="shared" si="0"/>
        <v>Fri</v>
      </c>
      <c r="AN7" s="16" t="str">
        <f t="shared" si="0"/>
        <v>Sat</v>
      </c>
      <c r="AO7" s="17" t="str">
        <f t="shared" si="0"/>
        <v>Sun</v>
      </c>
      <c r="AP7" s="50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 s="47"/>
      <c r="B8" s="47"/>
      <c r="C8" s="47"/>
      <c r="D8" s="48"/>
      <c r="F8" s="50"/>
      <c r="G8" s="9" t="s">
        <v>23</v>
      </c>
      <c r="H8" s="10" t="s">
        <v>24</v>
      </c>
      <c r="I8" s="11" t="s">
        <v>25</v>
      </c>
      <c r="J8" s="12" t="s">
        <v>26</v>
      </c>
      <c r="K8" s="13">
        <f>H5</f>
        <v>45870</v>
      </c>
      <c r="L8" s="13">
        <f>IF(K8&lt;$L$5,K8+1,"")</f>
        <v>45871</v>
      </c>
      <c r="M8" s="13">
        <f t="shared" ref="M8:AO8" si="1">IF(L8&lt;$L$5,L8+1,"")</f>
        <v>45872</v>
      </c>
      <c r="N8" s="13">
        <f t="shared" si="1"/>
        <v>45873</v>
      </c>
      <c r="O8" s="13">
        <f t="shared" si="1"/>
        <v>45874</v>
      </c>
      <c r="P8" s="13">
        <f t="shared" si="1"/>
        <v>45875</v>
      </c>
      <c r="Q8" s="13">
        <f t="shared" si="1"/>
        <v>45876</v>
      </c>
      <c r="R8" s="13">
        <f t="shared" si="1"/>
        <v>45877</v>
      </c>
      <c r="S8" s="13">
        <f t="shared" si="1"/>
        <v>45878</v>
      </c>
      <c r="T8" s="13">
        <f t="shared" si="1"/>
        <v>45879</v>
      </c>
      <c r="U8" s="13">
        <f t="shared" si="1"/>
        <v>45880</v>
      </c>
      <c r="V8" s="13">
        <f t="shared" si="1"/>
        <v>45881</v>
      </c>
      <c r="W8" s="13">
        <f t="shared" si="1"/>
        <v>45882</v>
      </c>
      <c r="X8" s="13">
        <f t="shared" si="1"/>
        <v>45883</v>
      </c>
      <c r="Y8" s="13">
        <f t="shared" si="1"/>
        <v>45884</v>
      </c>
      <c r="Z8" s="13">
        <f t="shared" si="1"/>
        <v>45885</v>
      </c>
      <c r="AA8" s="13">
        <f t="shared" si="1"/>
        <v>45886</v>
      </c>
      <c r="AB8" s="13">
        <f t="shared" si="1"/>
        <v>45887</v>
      </c>
      <c r="AC8" s="13">
        <f t="shared" si="1"/>
        <v>45888</v>
      </c>
      <c r="AD8" s="13">
        <f t="shared" si="1"/>
        <v>45889</v>
      </c>
      <c r="AE8" s="13">
        <f t="shared" si="1"/>
        <v>45890</v>
      </c>
      <c r="AF8" s="13">
        <f t="shared" si="1"/>
        <v>45891</v>
      </c>
      <c r="AG8" s="13">
        <f t="shared" si="1"/>
        <v>45892</v>
      </c>
      <c r="AH8" s="13">
        <f t="shared" si="1"/>
        <v>45893</v>
      </c>
      <c r="AI8" s="13">
        <f t="shared" si="1"/>
        <v>45894</v>
      </c>
      <c r="AJ8" s="13">
        <f t="shared" si="1"/>
        <v>45895</v>
      </c>
      <c r="AK8" s="13">
        <f t="shared" si="1"/>
        <v>45896</v>
      </c>
      <c r="AL8" s="13">
        <f t="shared" si="1"/>
        <v>45897</v>
      </c>
      <c r="AM8" s="13">
        <f t="shared" si="1"/>
        <v>45898</v>
      </c>
      <c r="AN8" s="13">
        <f t="shared" si="1"/>
        <v>45899</v>
      </c>
      <c r="AO8" s="14">
        <f t="shared" si="1"/>
        <v>45900</v>
      </c>
      <c r="AP8" s="51"/>
      <c r="AQ8" s="52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53"/>
    </row>
    <row r="9" spans="1:59" ht="16.5" thickTop="1" x14ac:dyDescent="0.25">
      <c r="A9" s="47"/>
      <c r="B9" s="47"/>
      <c r="C9" s="47"/>
      <c r="D9" s="48"/>
      <c r="F9" s="50"/>
      <c r="G9" s="3">
        <v>1</v>
      </c>
      <c r="H9" s="4">
        <v>1001</v>
      </c>
      <c r="I9" s="5" t="s">
        <v>3</v>
      </c>
      <c r="J9" s="37">
        <f>COUNTIF($K$7:$AO$7,"Sun")</f>
        <v>5</v>
      </c>
      <c r="K9" s="38" t="s">
        <v>43</v>
      </c>
      <c r="L9" s="38" t="s">
        <v>43</v>
      </c>
      <c r="M9" s="38" t="str">
        <f t="shared" ref="M9:AO17" si="2">IF(M$7="Sun","WO","")</f>
        <v>WO</v>
      </c>
      <c r="N9" s="38" t="s">
        <v>43</v>
      </c>
      <c r="O9" s="38" t="s">
        <v>43</v>
      </c>
      <c r="P9" s="38" t="s">
        <v>43</v>
      </c>
      <c r="Q9" s="38" t="s">
        <v>43</v>
      </c>
      <c r="R9" s="38" t="s">
        <v>43</v>
      </c>
      <c r="S9" s="38" t="s">
        <v>42</v>
      </c>
      <c r="T9" s="38" t="str">
        <f t="shared" si="2"/>
        <v>WO</v>
      </c>
      <c r="U9" s="38" t="s">
        <v>43</v>
      </c>
      <c r="V9" s="38" t="s">
        <v>43</v>
      </c>
      <c r="W9" s="38" t="s">
        <v>43</v>
      </c>
      <c r="X9" s="38" t="s">
        <v>43</v>
      </c>
      <c r="Y9" s="38" t="s">
        <v>43</v>
      </c>
      <c r="Z9" s="38" t="s">
        <v>43</v>
      </c>
      <c r="AA9" s="38" t="str">
        <f t="shared" si="2"/>
        <v>WO</v>
      </c>
      <c r="AB9" s="38" t="s">
        <v>43</v>
      </c>
      <c r="AC9" s="38" t="s">
        <v>43</v>
      </c>
      <c r="AD9" s="38" t="s">
        <v>43</v>
      </c>
      <c r="AE9" s="38" t="s">
        <v>42</v>
      </c>
      <c r="AF9" s="38" t="s">
        <v>43</v>
      </c>
      <c r="AG9" s="38" t="s">
        <v>43</v>
      </c>
      <c r="AH9" s="38" t="str">
        <f t="shared" si="2"/>
        <v>WO</v>
      </c>
      <c r="AI9" s="38" t="s">
        <v>43</v>
      </c>
      <c r="AJ9" s="38" t="s">
        <v>44</v>
      </c>
      <c r="AK9" s="38" t="s">
        <v>43</v>
      </c>
      <c r="AL9" s="38" t="s">
        <v>42</v>
      </c>
      <c r="AM9" s="38" t="s">
        <v>43</v>
      </c>
      <c r="AN9" s="38" t="s">
        <v>43</v>
      </c>
      <c r="AO9" s="39" t="str">
        <f t="shared" si="2"/>
        <v>WO</v>
      </c>
      <c r="AP9" s="50"/>
      <c r="AQ9" s="53"/>
      <c r="AR9" s="19">
        <v>1</v>
      </c>
      <c r="AS9" s="19">
        <v>1001</v>
      </c>
      <c r="AT9" s="19" t="str">
        <f t="shared" ref="AT9:AT28" si="3">$J$5</f>
        <v>August</v>
      </c>
      <c r="AU9" s="19" t="s">
        <v>3</v>
      </c>
      <c r="AV9" s="26">
        <f t="shared" ref="AV9:AV28" si="4">COUNTIF($K9:$AO9,"*P*")</f>
        <v>22</v>
      </c>
      <c r="AW9" s="20">
        <f t="shared" ref="AW9:AW28" si="5">COUNTIF($K9:$AO9,"*A*")</f>
        <v>1</v>
      </c>
      <c r="AX9" s="20">
        <f t="shared" ref="AX9:AX28" si="6">COUNTIF($K9:$AO9,"L")</f>
        <v>3</v>
      </c>
      <c r="AY9" s="20">
        <f t="shared" ref="AY9:AY28" si="7">$J$9</f>
        <v>5</v>
      </c>
      <c r="AZ9" s="20">
        <f t="shared" ref="AZ9:AZ28" si="8">$I$5</f>
        <v>31</v>
      </c>
      <c r="BA9" s="20">
        <f>Aug_Month[[#This Row],[Days]]-Aug_Month[[#This Row],[Absent]]</f>
        <v>30</v>
      </c>
      <c r="BB9" s="21">
        <v>10000</v>
      </c>
      <c r="BC9" s="21">
        <f>Aug_Month[[#This Row],[Salary]]/Aug_Month[[#This Row],[Days]]</f>
        <v>322.58064516129031</v>
      </c>
      <c r="BD9" s="24">
        <f>Aug_Month[[#This Row],[PerDay Salary]]*Aug_Month[[#This Row],[Absent]]</f>
        <v>322.58064516129031</v>
      </c>
      <c r="BE9" s="23">
        <f>Aug_Month[[#This Row],[Salary]]-Aug_Month[[#This Row],[Deduction]]</f>
        <v>9677.4193548387102</v>
      </c>
      <c r="BF9" s="22"/>
      <c r="BG9" s="53"/>
    </row>
    <row r="10" spans="1:59" ht="15.75" x14ac:dyDescent="0.25">
      <c r="A10" s="47"/>
      <c r="B10" s="47"/>
      <c r="C10" s="47"/>
      <c r="D10" s="48"/>
      <c r="F10" s="50"/>
      <c r="G10" s="3">
        <v>2</v>
      </c>
      <c r="H10" s="4">
        <v>1002</v>
      </c>
      <c r="I10" s="5" t="s">
        <v>4</v>
      </c>
      <c r="J10" s="37">
        <f t="shared" ref="J10:J28" si="9">COUNTIF($K$7:$AO$7,"Sun")</f>
        <v>5</v>
      </c>
      <c r="K10" s="38" t="s">
        <v>43</v>
      </c>
      <c r="L10" s="38" t="s">
        <v>43</v>
      </c>
      <c r="M10" s="38" t="str">
        <f t="shared" si="2"/>
        <v>WO</v>
      </c>
      <c r="N10" s="38" t="s">
        <v>43</v>
      </c>
      <c r="O10" s="38" t="s">
        <v>43</v>
      </c>
      <c r="P10" s="38" t="s">
        <v>43</v>
      </c>
      <c r="Q10" s="38" t="s">
        <v>43</v>
      </c>
      <c r="R10" s="38" t="s">
        <v>43</v>
      </c>
      <c r="S10" s="38" t="s">
        <v>42</v>
      </c>
      <c r="T10" s="38" t="str">
        <f t="shared" si="2"/>
        <v>WO</v>
      </c>
      <c r="U10" s="38" t="s">
        <v>43</v>
      </c>
      <c r="V10" s="38" t="s">
        <v>43</v>
      </c>
      <c r="W10" s="38" t="s">
        <v>43</v>
      </c>
      <c r="X10" s="38" t="s">
        <v>43</v>
      </c>
      <c r="Y10" s="38" t="s">
        <v>43</v>
      </c>
      <c r="Z10" s="38" t="s">
        <v>43</v>
      </c>
      <c r="AA10" s="38" t="str">
        <f t="shared" si="2"/>
        <v>WO</v>
      </c>
      <c r="AB10" s="38" t="s">
        <v>43</v>
      </c>
      <c r="AC10" s="38" t="s">
        <v>43</v>
      </c>
      <c r="AD10" s="38" t="s">
        <v>43</v>
      </c>
      <c r="AE10" s="38" t="s">
        <v>42</v>
      </c>
      <c r="AF10" s="38" t="s">
        <v>43</v>
      </c>
      <c r="AG10" s="38" t="s">
        <v>43</v>
      </c>
      <c r="AH10" s="38" t="str">
        <f t="shared" si="2"/>
        <v>WO</v>
      </c>
      <c r="AI10" s="38" t="s">
        <v>44</v>
      </c>
      <c r="AJ10" s="38" t="s">
        <v>43</v>
      </c>
      <c r="AK10" s="38" t="s">
        <v>43</v>
      </c>
      <c r="AL10" s="38" t="s">
        <v>42</v>
      </c>
      <c r="AM10" s="38" t="s">
        <v>43</v>
      </c>
      <c r="AN10" s="38" t="s">
        <v>44</v>
      </c>
      <c r="AO10" s="39" t="str">
        <f t="shared" si="2"/>
        <v>WO</v>
      </c>
      <c r="AP10" s="50"/>
      <c r="AQ10" s="53"/>
      <c r="AR10" s="19">
        <v>2</v>
      </c>
      <c r="AS10" s="19">
        <v>1002</v>
      </c>
      <c r="AT10" s="19" t="str">
        <f t="shared" si="3"/>
        <v>August</v>
      </c>
      <c r="AU10" s="19" t="s">
        <v>4</v>
      </c>
      <c r="AV10" s="27">
        <f t="shared" si="4"/>
        <v>21</v>
      </c>
      <c r="AW10" s="22">
        <f t="shared" si="5"/>
        <v>2</v>
      </c>
      <c r="AX10" s="22">
        <f t="shared" si="6"/>
        <v>3</v>
      </c>
      <c r="AY10" s="22">
        <f t="shared" si="7"/>
        <v>5</v>
      </c>
      <c r="AZ10" s="22">
        <f t="shared" si="8"/>
        <v>31</v>
      </c>
      <c r="BA10" s="22">
        <f>Aug_Month[[#This Row],[Days]]-Aug_Month[[#This Row],[Absent]]</f>
        <v>29</v>
      </c>
      <c r="BB10" s="23">
        <v>20000</v>
      </c>
      <c r="BC10" s="23">
        <f>Aug_Month[[#This Row],[Salary]]/Aug_Month[[#This Row],[Days]]</f>
        <v>645.16129032258061</v>
      </c>
      <c r="BD10" s="24">
        <f>Aug_Month[[#This Row],[PerDay Salary]]*Aug_Month[[#This Row],[Absent]]</f>
        <v>1290.3225806451612</v>
      </c>
      <c r="BE10" s="23">
        <f>Aug_Month[[#This Row],[Salary]]-Aug_Month[[#This Row],[Deduction]]</f>
        <v>18709.677419354837</v>
      </c>
      <c r="BF10" s="22"/>
      <c r="BG10" s="53"/>
    </row>
    <row r="11" spans="1:59" ht="15.75" x14ac:dyDescent="0.25">
      <c r="A11" s="47"/>
      <c r="B11" s="47"/>
      <c r="C11" s="47"/>
      <c r="D11" s="48"/>
      <c r="F11" s="50"/>
      <c r="G11" s="3">
        <v>3</v>
      </c>
      <c r="H11" s="4">
        <v>1003</v>
      </c>
      <c r="I11" s="5" t="s">
        <v>5</v>
      </c>
      <c r="J11" s="37">
        <f t="shared" si="9"/>
        <v>5</v>
      </c>
      <c r="K11" s="38" t="s">
        <v>43</v>
      </c>
      <c r="L11" s="38" t="s">
        <v>43</v>
      </c>
      <c r="M11" s="38" t="str">
        <f t="shared" ref="M11:M13" si="10">IF(M$7="Sun","WO","")</f>
        <v>WO</v>
      </c>
      <c r="N11" s="38" t="s">
        <v>43</v>
      </c>
      <c r="O11" s="38" t="s">
        <v>43</v>
      </c>
      <c r="P11" s="38" t="s">
        <v>43</v>
      </c>
      <c r="Q11" s="38" t="s">
        <v>43</v>
      </c>
      <c r="R11" s="38" t="s">
        <v>43</v>
      </c>
      <c r="S11" s="38" t="s">
        <v>42</v>
      </c>
      <c r="T11" s="38" t="str">
        <f t="shared" si="2"/>
        <v>WO</v>
      </c>
      <c r="U11" s="38" t="s">
        <v>43</v>
      </c>
      <c r="V11" s="38" t="s">
        <v>43</v>
      </c>
      <c r="W11" s="38" t="s">
        <v>43</v>
      </c>
      <c r="X11" s="38" t="s">
        <v>43</v>
      </c>
      <c r="Y11" s="38" t="s">
        <v>43</v>
      </c>
      <c r="Z11" s="38" t="s">
        <v>43</v>
      </c>
      <c r="AA11" s="38" t="str">
        <f t="shared" si="2"/>
        <v>WO</v>
      </c>
      <c r="AB11" s="38" t="s">
        <v>43</v>
      </c>
      <c r="AC11" s="38" t="s">
        <v>43</v>
      </c>
      <c r="AD11" s="38" t="s">
        <v>43</v>
      </c>
      <c r="AE11" s="38" t="s">
        <v>42</v>
      </c>
      <c r="AF11" s="38" t="s">
        <v>43</v>
      </c>
      <c r="AG11" s="38" t="s">
        <v>44</v>
      </c>
      <c r="AH11" s="38" t="str">
        <f t="shared" si="2"/>
        <v>WO</v>
      </c>
      <c r="AI11" s="38" t="s">
        <v>43</v>
      </c>
      <c r="AJ11" s="38" t="s">
        <v>43</v>
      </c>
      <c r="AK11" s="38" t="s">
        <v>43</v>
      </c>
      <c r="AL11" s="38" t="s">
        <v>42</v>
      </c>
      <c r="AM11" s="38" t="s">
        <v>43</v>
      </c>
      <c r="AN11" s="38" t="s">
        <v>43</v>
      </c>
      <c r="AO11" s="39" t="str">
        <f t="shared" si="2"/>
        <v>WO</v>
      </c>
      <c r="AP11" s="50"/>
      <c r="AQ11" s="53"/>
      <c r="AR11" s="19">
        <v>3</v>
      </c>
      <c r="AS11" s="19">
        <v>1003</v>
      </c>
      <c r="AT11" s="19" t="str">
        <f t="shared" si="3"/>
        <v>August</v>
      </c>
      <c r="AU11" s="19" t="s">
        <v>5</v>
      </c>
      <c r="AV11" s="27">
        <f t="shared" si="4"/>
        <v>22</v>
      </c>
      <c r="AW11" s="22">
        <f t="shared" si="5"/>
        <v>1</v>
      </c>
      <c r="AX11" s="22">
        <f t="shared" si="6"/>
        <v>3</v>
      </c>
      <c r="AY11" s="22">
        <f t="shared" si="7"/>
        <v>5</v>
      </c>
      <c r="AZ11" s="22">
        <f t="shared" si="8"/>
        <v>31</v>
      </c>
      <c r="BA11" s="22">
        <f>Aug_Month[[#This Row],[Days]]-Aug_Month[[#This Row],[Absent]]</f>
        <v>30</v>
      </c>
      <c r="BB11" s="23">
        <v>25000</v>
      </c>
      <c r="BC11" s="23">
        <f>Aug_Month[[#This Row],[Salary]]/Aug_Month[[#This Row],[Days]]</f>
        <v>806.45161290322585</v>
      </c>
      <c r="BD11" s="24">
        <f>Aug_Month[[#This Row],[PerDay Salary]]*Aug_Month[[#This Row],[Absent]]</f>
        <v>806.45161290322585</v>
      </c>
      <c r="BE11" s="23">
        <f>Aug_Month[[#This Row],[Salary]]-Aug_Month[[#This Row],[Deduction]]</f>
        <v>24193.548387096773</v>
      </c>
      <c r="BF11" s="22"/>
      <c r="BG11" s="53"/>
    </row>
    <row r="12" spans="1:59" ht="15.75" x14ac:dyDescent="0.25">
      <c r="A12" s="47"/>
      <c r="B12" s="47"/>
      <c r="C12" s="47"/>
      <c r="D12" s="48"/>
      <c r="F12" s="50"/>
      <c r="G12" s="3">
        <v>4</v>
      </c>
      <c r="H12" s="4">
        <v>1004</v>
      </c>
      <c r="I12" s="5" t="s">
        <v>6</v>
      </c>
      <c r="J12" s="37">
        <f t="shared" si="9"/>
        <v>5</v>
      </c>
      <c r="K12" s="38" t="s">
        <v>43</v>
      </c>
      <c r="L12" s="38" t="s">
        <v>43</v>
      </c>
      <c r="M12" s="38" t="str">
        <f t="shared" si="10"/>
        <v>WO</v>
      </c>
      <c r="N12" s="38" t="s">
        <v>43</v>
      </c>
      <c r="O12" s="38" t="s">
        <v>43</v>
      </c>
      <c r="P12" s="38" t="s">
        <v>43</v>
      </c>
      <c r="Q12" s="38" t="s">
        <v>43</v>
      </c>
      <c r="R12" s="38" t="s">
        <v>43</v>
      </c>
      <c r="S12" s="38" t="s">
        <v>42</v>
      </c>
      <c r="T12" s="38" t="str">
        <f t="shared" si="2"/>
        <v>WO</v>
      </c>
      <c r="U12" s="38" t="s">
        <v>44</v>
      </c>
      <c r="V12" s="38" t="s">
        <v>43</v>
      </c>
      <c r="W12" s="38" t="s">
        <v>43</v>
      </c>
      <c r="X12" s="38" t="s">
        <v>43</v>
      </c>
      <c r="Y12" s="38" t="s">
        <v>43</v>
      </c>
      <c r="Z12" s="38" t="s">
        <v>43</v>
      </c>
      <c r="AA12" s="38" t="str">
        <f t="shared" si="2"/>
        <v>WO</v>
      </c>
      <c r="AB12" s="38" t="s">
        <v>43</v>
      </c>
      <c r="AC12" s="38" t="s">
        <v>43</v>
      </c>
      <c r="AD12" s="38" t="s">
        <v>43</v>
      </c>
      <c r="AE12" s="38" t="s">
        <v>42</v>
      </c>
      <c r="AF12" s="38" t="s">
        <v>44</v>
      </c>
      <c r="AG12" s="38" t="s">
        <v>43</v>
      </c>
      <c r="AH12" s="38" t="str">
        <f t="shared" si="2"/>
        <v>WO</v>
      </c>
      <c r="AI12" s="38" t="s">
        <v>43</v>
      </c>
      <c r="AJ12" s="38" t="s">
        <v>43</v>
      </c>
      <c r="AK12" s="38" t="s">
        <v>43</v>
      </c>
      <c r="AL12" s="38" t="s">
        <v>42</v>
      </c>
      <c r="AM12" s="38" t="s">
        <v>43</v>
      </c>
      <c r="AN12" s="38" t="s">
        <v>43</v>
      </c>
      <c r="AO12" s="39" t="str">
        <f t="shared" si="2"/>
        <v>WO</v>
      </c>
      <c r="AP12" s="50"/>
      <c r="AQ12" s="53"/>
      <c r="AR12" s="19">
        <v>4</v>
      </c>
      <c r="AS12" s="19">
        <v>1004</v>
      </c>
      <c r="AT12" s="19" t="str">
        <f t="shared" si="3"/>
        <v>August</v>
      </c>
      <c r="AU12" s="19" t="s">
        <v>6</v>
      </c>
      <c r="AV12" s="27">
        <f t="shared" si="4"/>
        <v>21</v>
      </c>
      <c r="AW12" s="22">
        <f t="shared" si="5"/>
        <v>2</v>
      </c>
      <c r="AX12" s="22">
        <f t="shared" si="6"/>
        <v>3</v>
      </c>
      <c r="AY12" s="22">
        <f t="shared" si="7"/>
        <v>5</v>
      </c>
      <c r="AZ12" s="22">
        <f t="shared" si="8"/>
        <v>31</v>
      </c>
      <c r="BA12" s="22">
        <f>Aug_Month[[#This Row],[Days]]-Aug_Month[[#This Row],[Absent]]</f>
        <v>29</v>
      </c>
      <c r="BB12" s="23">
        <v>30000</v>
      </c>
      <c r="BC12" s="23">
        <f>Aug_Month[[#This Row],[Salary]]/Aug_Month[[#This Row],[Days]]</f>
        <v>967.74193548387098</v>
      </c>
      <c r="BD12" s="24">
        <f>Aug_Month[[#This Row],[PerDay Salary]]*Aug_Month[[#This Row],[Absent]]</f>
        <v>1935.483870967742</v>
      </c>
      <c r="BE12" s="23">
        <f>Aug_Month[[#This Row],[Salary]]-Aug_Month[[#This Row],[Deduction]]</f>
        <v>28064.516129032258</v>
      </c>
      <c r="BF12" s="22"/>
      <c r="BG12" s="53"/>
    </row>
    <row r="13" spans="1:59" ht="15.75" x14ac:dyDescent="0.25">
      <c r="A13" s="47"/>
      <c r="B13" s="47"/>
      <c r="C13" s="47"/>
      <c r="D13" s="48"/>
      <c r="F13" s="50"/>
      <c r="G13" s="3">
        <v>5</v>
      </c>
      <c r="H13" s="4">
        <v>1005</v>
      </c>
      <c r="I13" s="5" t="s">
        <v>7</v>
      </c>
      <c r="J13" s="37">
        <f t="shared" si="9"/>
        <v>5</v>
      </c>
      <c r="K13" s="38" t="s">
        <v>43</v>
      </c>
      <c r="L13" s="38" t="s">
        <v>43</v>
      </c>
      <c r="M13" s="38" t="str">
        <f t="shared" si="10"/>
        <v>WO</v>
      </c>
      <c r="N13" s="38" t="s">
        <v>43</v>
      </c>
      <c r="O13" s="38" t="s">
        <v>43</v>
      </c>
      <c r="P13" s="38" t="s">
        <v>43</v>
      </c>
      <c r="Q13" s="38" t="s">
        <v>43</v>
      </c>
      <c r="R13" s="38" t="s">
        <v>43</v>
      </c>
      <c r="S13" s="38" t="s">
        <v>42</v>
      </c>
      <c r="T13" s="38" t="str">
        <f t="shared" si="2"/>
        <v>WO</v>
      </c>
      <c r="U13" s="38" t="s">
        <v>43</v>
      </c>
      <c r="V13" s="38" t="s">
        <v>43</v>
      </c>
      <c r="W13" s="38" t="s">
        <v>43</v>
      </c>
      <c r="X13" s="38" t="s">
        <v>43</v>
      </c>
      <c r="Y13" s="38" t="s">
        <v>43</v>
      </c>
      <c r="Z13" s="38" t="s">
        <v>43</v>
      </c>
      <c r="AA13" s="38" t="str">
        <f t="shared" si="2"/>
        <v>WO</v>
      </c>
      <c r="AB13" s="38" t="s">
        <v>43</v>
      </c>
      <c r="AC13" s="38" t="s">
        <v>43</v>
      </c>
      <c r="AD13" s="38" t="s">
        <v>44</v>
      </c>
      <c r="AE13" s="38" t="s">
        <v>42</v>
      </c>
      <c r="AF13" s="38" t="s">
        <v>43</v>
      </c>
      <c r="AG13" s="38" t="s">
        <v>43</v>
      </c>
      <c r="AH13" s="38" t="str">
        <f t="shared" si="2"/>
        <v>WO</v>
      </c>
      <c r="AI13" s="38" t="s">
        <v>43</v>
      </c>
      <c r="AJ13" s="38" t="s">
        <v>43</v>
      </c>
      <c r="AK13" s="38" t="s">
        <v>43</v>
      </c>
      <c r="AL13" s="38" t="s">
        <v>42</v>
      </c>
      <c r="AM13" s="38" t="s">
        <v>43</v>
      </c>
      <c r="AN13" s="38" t="s">
        <v>43</v>
      </c>
      <c r="AO13" s="39" t="str">
        <f t="shared" si="2"/>
        <v>WO</v>
      </c>
      <c r="AP13" s="50"/>
      <c r="AQ13" s="53"/>
      <c r="AR13" s="19">
        <v>5</v>
      </c>
      <c r="AS13" s="19">
        <v>1005</v>
      </c>
      <c r="AT13" s="19" t="str">
        <f t="shared" si="3"/>
        <v>August</v>
      </c>
      <c r="AU13" s="19" t="s">
        <v>7</v>
      </c>
      <c r="AV13" s="27">
        <f t="shared" si="4"/>
        <v>22</v>
      </c>
      <c r="AW13" s="22">
        <f t="shared" si="5"/>
        <v>1</v>
      </c>
      <c r="AX13" s="22">
        <f t="shared" si="6"/>
        <v>3</v>
      </c>
      <c r="AY13" s="22">
        <f t="shared" si="7"/>
        <v>5</v>
      </c>
      <c r="AZ13" s="22">
        <f t="shared" si="8"/>
        <v>31</v>
      </c>
      <c r="BA13" s="22">
        <f>Aug_Month[[#This Row],[Days]]-Aug_Month[[#This Row],[Absent]]</f>
        <v>30</v>
      </c>
      <c r="BB13" s="23">
        <v>45000</v>
      </c>
      <c r="BC13" s="23">
        <f>Aug_Month[[#This Row],[Salary]]/Aug_Month[[#This Row],[Days]]</f>
        <v>1451.6129032258063</v>
      </c>
      <c r="BD13" s="24">
        <f>Aug_Month[[#This Row],[PerDay Salary]]*Aug_Month[[#This Row],[Absent]]</f>
        <v>1451.6129032258063</v>
      </c>
      <c r="BE13" s="23">
        <f>Aug_Month[[#This Row],[Salary]]-Aug_Month[[#This Row],[Deduction]]</f>
        <v>43548.387096774197</v>
      </c>
      <c r="BF13" s="22"/>
      <c r="BG13" s="53"/>
    </row>
    <row r="14" spans="1:59" ht="15.75" x14ac:dyDescent="0.25">
      <c r="A14" s="47"/>
      <c r="B14" s="47"/>
      <c r="C14" s="47"/>
      <c r="D14" s="48"/>
      <c r="F14" s="50"/>
      <c r="G14" s="3">
        <v>6</v>
      </c>
      <c r="H14" s="4">
        <v>1006</v>
      </c>
      <c r="I14" s="5" t="s">
        <v>8</v>
      </c>
      <c r="J14" s="37">
        <f t="shared" si="9"/>
        <v>5</v>
      </c>
      <c r="K14" s="38" t="s">
        <v>43</v>
      </c>
      <c r="L14" s="38" t="s">
        <v>43</v>
      </c>
      <c r="M14" s="38" t="str">
        <f t="shared" si="2"/>
        <v>WO</v>
      </c>
      <c r="N14" s="38" t="s">
        <v>43</v>
      </c>
      <c r="O14" s="38" t="s">
        <v>44</v>
      </c>
      <c r="P14" s="38" t="s">
        <v>43</v>
      </c>
      <c r="Q14" s="38" t="s">
        <v>43</v>
      </c>
      <c r="R14" s="38" t="s">
        <v>43</v>
      </c>
      <c r="S14" s="38" t="s">
        <v>42</v>
      </c>
      <c r="T14" s="38" t="str">
        <f t="shared" si="2"/>
        <v>WO</v>
      </c>
      <c r="U14" s="38" t="s">
        <v>43</v>
      </c>
      <c r="V14" s="38" t="s">
        <v>43</v>
      </c>
      <c r="W14" s="38" t="s">
        <v>43</v>
      </c>
      <c r="X14" s="38" t="s">
        <v>43</v>
      </c>
      <c r="Y14" s="38" t="s">
        <v>43</v>
      </c>
      <c r="Z14" s="38" t="s">
        <v>43</v>
      </c>
      <c r="AA14" s="38" t="str">
        <f t="shared" si="2"/>
        <v>WO</v>
      </c>
      <c r="AB14" s="38" t="s">
        <v>43</v>
      </c>
      <c r="AC14" s="38" t="s">
        <v>44</v>
      </c>
      <c r="AD14" s="38" t="s">
        <v>43</v>
      </c>
      <c r="AE14" s="38" t="s">
        <v>42</v>
      </c>
      <c r="AF14" s="38" t="s">
        <v>43</v>
      </c>
      <c r="AG14" s="38" t="s">
        <v>43</v>
      </c>
      <c r="AH14" s="38" t="str">
        <f t="shared" si="2"/>
        <v>WO</v>
      </c>
      <c r="AI14" s="38" t="s">
        <v>43</v>
      </c>
      <c r="AJ14" s="38" t="s">
        <v>43</v>
      </c>
      <c r="AK14" s="38" t="s">
        <v>43</v>
      </c>
      <c r="AL14" s="38" t="s">
        <v>42</v>
      </c>
      <c r="AM14" s="38" t="s">
        <v>43</v>
      </c>
      <c r="AN14" s="38" t="s">
        <v>43</v>
      </c>
      <c r="AO14" s="39" t="str">
        <f t="shared" si="2"/>
        <v>WO</v>
      </c>
      <c r="AP14" s="50"/>
      <c r="AQ14" s="53"/>
      <c r="AR14" s="19">
        <v>6</v>
      </c>
      <c r="AS14" s="19">
        <v>1006</v>
      </c>
      <c r="AT14" s="19" t="str">
        <f t="shared" si="3"/>
        <v>August</v>
      </c>
      <c r="AU14" s="19" t="s">
        <v>8</v>
      </c>
      <c r="AV14" s="27">
        <f t="shared" si="4"/>
        <v>21</v>
      </c>
      <c r="AW14" s="22">
        <f t="shared" si="5"/>
        <v>2</v>
      </c>
      <c r="AX14" s="22">
        <f t="shared" si="6"/>
        <v>3</v>
      </c>
      <c r="AY14" s="22">
        <f t="shared" si="7"/>
        <v>5</v>
      </c>
      <c r="AZ14" s="22">
        <f t="shared" si="8"/>
        <v>31</v>
      </c>
      <c r="BA14" s="22">
        <f>Aug_Month[[#This Row],[Days]]-Aug_Month[[#This Row],[Absent]]</f>
        <v>29</v>
      </c>
      <c r="BB14" s="23">
        <v>15000</v>
      </c>
      <c r="BC14" s="23">
        <f>Aug_Month[[#This Row],[Salary]]/Aug_Month[[#This Row],[Days]]</f>
        <v>483.87096774193549</v>
      </c>
      <c r="BD14" s="24">
        <f>Aug_Month[[#This Row],[PerDay Salary]]*Aug_Month[[#This Row],[Absent]]</f>
        <v>967.74193548387098</v>
      </c>
      <c r="BE14" s="23">
        <f>Aug_Month[[#This Row],[Salary]]-Aug_Month[[#This Row],[Deduction]]</f>
        <v>14032.258064516129</v>
      </c>
      <c r="BF14" s="22"/>
      <c r="BG14" s="53"/>
    </row>
    <row r="15" spans="1:59" ht="15.75" x14ac:dyDescent="0.25">
      <c r="A15" s="47"/>
      <c r="B15" s="47"/>
      <c r="C15" s="47"/>
      <c r="D15" s="48"/>
      <c r="F15" s="50"/>
      <c r="G15" s="3">
        <v>7</v>
      </c>
      <c r="H15" s="4">
        <v>1007</v>
      </c>
      <c r="I15" s="5" t="s">
        <v>9</v>
      </c>
      <c r="J15" s="37">
        <f t="shared" si="9"/>
        <v>5</v>
      </c>
      <c r="K15" s="38" t="s">
        <v>43</v>
      </c>
      <c r="L15" s="38" t="s">
        <v>43</v>
      </c>
      <c r="M15" s="38" t="str">
        <f t="shared" si="2"/>
        <v>WO</v>
      </c>
      <c r="N15" s="38" t="s">
        <v>43</v>
      </c>
      <c r="O15" s="38" t="s">
        <v>43</v>
      </c>
      <c r="P15" s="38" t="s">
        <v>43</v>
      </c>
      <c r="Q15" s="38" t="s">
        <v>43</v>
      </c>
      <c r="R15" s="38" t="s">
        <v>43</v>
      </c>
      <c r="S15" s="38" t="s">
        <v>42</v>
      </c>
      <c r="T15" s="38" t="str">
        <f t="shared" si="2"/>
        <v>WO</v>
      </c>
      <c r="U15" s="38" t="s">
        <v>43</v>
      </c>
      <c r="V15" s="38" t="s">
        <v>43</v>
      </c>
      <c r="W15" s="38" t="s">
        <v>43</v>
      </c>
      <c r="X15" s="38" t="s">
        <v>43</v>
      </c>
      <c r="Y15" s="38" t="s">
        <v>43</v>
      </c>
      <c r="Z15" s="38" t="s">
        <v>43</v>
      </c>
      <c r="AA15" s="38" t="str">
        <f t="shared" si="2"/>
        <v>WO</v>
      </c>
      <c r="AB15" s="38" t="s">
        <v>44</v>
      </c>
      <c r="AC15" s="38" t="s">
        <v>43</v>
      </c>
      <c r="AD15" s="38" t="s">
        <v>43</v>
      </c>
      <c r="AE15" s="38" t="s">
        <v>42</v>
      </c>
      <c r="AF15" s="38" t="s">
        <v>43</v>
      </c>
      <c r="AG15" s="38" t="s">
        <v>43</v>
      </c>
      <c r="AH15" s="38" t="str">
        <f t="shared" si="2"/>
        <v>WO</v>
      </c>
      <c r="AI15" s="38" t="s">
        <v>43</v>
      </c>
      <c r="AJ15" s="38" t="s">
        <v>43</v>
      </c>
      <c r="AK15" s="38" t="s">
        <v>43</v>
      </c>
      <c r="AL15" s="38" t="s">
        <v>42</v>
      </c>
      <c r="AM15" s="38" t="s">
        <v>43</v>
      </c>
      <c r="AN15" s="38" t="s">
        <v>43</v>
      </c>
      <c r="AO15" s="39" t="str">
        <f t="shared" si="2"/>
        <v>WO</v>
      </c>
      <c r="AP15" s="50"/>
      <c r="AQ15" s="53"/>
      <c r="AR15" s="19">
        <v>7</v>
      </c>
      <c r="AS15" s="19">
        <v>1007</v>
      </c>
      <c r="AT15" s="19" t="str">
        <f t="shared" si="3"/>
        <v>August</v>
      </c>
      <c r="AU15" s="19" t="s">
        <v>9</v>
      </c>
      <c r="AV15" s="27">
        <f t="shared" si="4"/>
        <v>22</v>
      </c>
      <c r="AW15" s="22">
        <f t="shared" si="5"/>
        <v>1</v>
      </c>
      <c r="AX15" s="22">
        <f t="shared" si="6"/>
        <v>3</v>
      </c>
      <c r="AY15" s="22">
        <f t="shared" si="7"/>
        <v>5</v>
      </c>
      <c r="AZ15" s="22">
        <f t="shared" si="8"/>
        <v>31</v>
      </c>
      <c r="BA15" s="22">
        <f>Aug_Month[[#This Row],[Days]]-Aug_Month[[#This Row],[Absent]]</f>
        <v>30</v>
      </c>
      <c r="BB15" s="23">
        <v>62000</v>
      </c>
      <c r="BC15" s="23">
        <f>Aug_Month[[#This Row],[Salary]]/Aug_Month[[#This Row],[Days]]</f>
        <v>2000</v>
      </c>
      <c r="BD15" s="24">
        <f>Aug_Month[[#This Row],[PerDay Salary]]*Aug_Month[[#This Row],[Absent]]</f>
        <v>2000</v>
      </c>
      <c r="BE15" s="23">
        <f>Aug_Month[[#This Row],[Salary]]-Aug_Month[[#This Row],[Deduction]]</f>
        <v>60000</v>
      </c>
      <c r="BF15" s="22"/>
      <c r="BG15" s="53"/>
    </row>
    <row r="16" spans="1:59" ht="15.75" x14ac:dyDescent="0.25">
      <c r="A16" s="47"/>
      <c r="B16" s="47"/>
      <c r="C16" s="47"/>
      <c r="D16" s="48"/>
      <c r="F16" s="50"/>
      <c r="G16" s="3">
        <v>8</v>
      </c>
      <c r="H16" s="4">
        <v>1008</v>
      </c>
      <c r="I16" s="5" t="s">
        <v>10</v>
      </c>
      <c r="J16" s="37">
        <f t="shared" si="9"/>
        <v>5</v>
      </c>
      <c r="K16" s="38" t="s">
        <v>43</v>
      </c>
      <c r="L16" s="38" t="s">
        <v>43</v>
      </c>
      <c r="M16" s="38" t="str">
        <f t="shared" si="2"/>
        <v>WO</v>
      </c>
      <c r="N16" s="38" t="s">
        <v>43</v>
      </c>
      <c r="O16" s="38" t="s">
        <v>43</v>
      </c>
      <c r="P16" s="38" t="s">
        <v>43</v>
      </c>
      <c r="Q16" s="38" t="s">
        <v>43</v>
      </c>
      <c r="R16" s="38" t="s">
        <v>43</v>
      </c>
      <c r="S16" s="38" t="s">
        <v>42</v>
      </c>
      <c r="T16" s="38" t="str">
        <f t="shared" si="2"/>
        <v>WO</v>
      </c>
      <c r="U16" s="38" t="s">
        <v>43</v>
      </c>
      <c r="V16" s="38" t="s">
        <v>43</v>
      </c>
      <c r="W16" s="38" t="s">
        <v>43</v>
      </c>
      <c r="X16" s="38" t="s">
        <v>43</v>
      </c>
      <c r="Y16" s="38" t="s">
        <v>43</v>
      </c>
      <c r="Z16" s="38" t="s">
        <v>44</v>
      </c>
      <c r="AA16" s="38" t="str">
        <f t="shared" si="2"/>
        <v>WO</v>
      </c>
      <c r="AB16" s="38" t="s">
        <v>43</v>
      </c>
      <c r="AC16" s="38" t="s">
        <v>43</v>
      </c>
      <c r="AD16" s="38" t="s">
        <v>43</v>
      </c>
      <c r="AE16" s="38" t="s">
        <v>42</v>
      </c>
      <c r="AF16" s="38" t="s">
        <v>43</v>
      </c>
      <c r="AG16" s="38" t="s">
        <v>43</v>
      </c>
      <c r="AH16" s="38" t="str">
        <f t="shared" si="2"/>
        <v>WO</v>
      </c>
      <c r="AI16" s="38" t="s">
        <v>43</v>
      </c>
      <c r="AJ16" s="38" t="s">
        <v>43</v>
      </c>
      <c r="AK16" s="38" t="s">
        <v>43</v>
      </c>
      <c r="AL16" s="38" t="s">
        <v>42</v>
      </c>
      <c r="AM16" s="38" t="s">
        <v>43</v>
      </c>
      <c r="AN16" s="38" t="s">
        <v>43</v>
      </c>
      <c r="AO16" s="39" t="str">
        <f t="shared" si="2"/>
        <v>WO</v>
      </c>
      <c r="AP16" s="50"/>
      <c r="AQ16" s="53"/>
      <c r="AR16" s="19">
        <v>8</v>
      </c>
      <c r="AS16" s="19">
        <v>1008</v>
      </c>
      <c r="AT16" s="19" t="str">
        <f t="shared" si="3"/>
        <v>August</v>
      </c>
      <c r="AU16" s="19" t="s">
        <v>10</v>
      </c>
      <c r="AV16" s="27">
        <f t="shared" si="4"/>
        <v>22</v>
      </c>
      <c r="AW16" s="22">
        <f t="shared" si="5"/>
        <v>1</v>
      </c>
      <c r="AX16" s="22">
        <f t="shared" si="6"/>
        <v>3</v>
      </c>
      <c r="AY16" s="22">
        <f t="shared" si="7"/>
        <v>5</v>
      </c>
      <c r="AZ16" s="22">
        <f t="shared" si="8"/>
        <v>31</v>
      </c>
      <c r="BA16" s="22">
        <f>Aug_Month[[#This Row],[Days]]-Aug_Month[[#This Row],[Absent]]</f>
        <v>30</v>
      </c>
      <c r="BB16" s="23">
        <v>50000</v>
      </c>
      <c r="BC16" s="23">
        <f>Aug_Month[[#This Row],[Salary]]/Aug_Month[[#This Row],[Days]]</f>
        <v>1612.9032258064517</v>
      </c>
      <c r="BD16" s="24">
        <f>Aug_Month[[#This Row],[PerDay Salary]]*Aug_Month[[#This Row],[Absent]]</f>
        <v>1612.9032258064517</v>
      </c>
      <c r="BE16" s="23">
        <f>Aug_Month[[#This Row],[Salary]]-Aug_Month[[#This Row],[Deduction]]</f>
        <v>48387.096774193546</v>
      </c>
      <c r="BF16" s="22"/>
      <c r="BG16" s="53"/>
    </row>
    <row r="17" spans="1:59" ht="15.75" x14ac:dyDescent="0.25">
      <c r="A17" s="47"/>
      <c r="B17" s="47"/>
      <c r="C17" s="47"/>
      <c r="D17" s="48"/>
      <c r="F17" s="50"/>
      <c r="G17" s="3">
        <v>9</v>
      </c>
      <c r="H17" s="4">
        <v>1009</v>
      </c>
      <c r="I17" s="5" t="s">
        <v>11</v>
      </c>
      <c r="J17" s="37">
        <f t="shared" si="9"/>
        <v>5</v>
      </c>
      <c r="K17" s="38" t="s">
        <v>43</v>
      </c>
      <c r="L17" s="38" t="s">
        <v>43</v>
      </c>
      <c r="M17" s="38" t="str">
        <f t="shared" si="2"/>
        <v>WO</v>
      </c>
      <c r="N17" s="38" t="s">
        <v>43</v>
      </c>
      <c r="O17" s="38" t="s">
        <v>43</v>
      </c>
      <c r="P17" s="38" t="s">
        <v>43</v>
      </c>
      <c r="Q17" s="38" t="s">
        <v>43</v>
      </c>
      <c r="R17" s="38" t="s">
        <v>43</v>
      </c>
      <c r="S17" s="38" t="s">
        <v>42</v>
      </c>
      <c r="T17" s="38" t="str">
        <f t="shared" si="2"/>
        <v>WO</v>
      </c>
      <c r="U17" s="38" t="s">
        <v>43</v>
      </c>
      <c r="V17" s="38" t="s">
        <v>43</v>
      </c>
      <c r="W17" s="38" t="s">
        <v>43</v>
      </c>
      <c r="X17" s="38" t="s">
        <v>43</v>
      </c>
      <c r="Y17" s="38" t="s">
        <v>44</v>
      </c>
      <c r="Z17" s="38" t="s">
        <v>43</v>
      </c>
      <c r="AA17" s="38" t="str">
        <f t="shared" si="2"/>
        <v>WO</v>
      </c>
      <c r="AB17" s="38" t="s">
        <v>43</v>
      </c>
      <c r="AC17" s="38" t="s">
        <v>43</v>
      </c>
      <c r="AD17" s="38" t="s">
        <v>43</v>
      </c>
      <c r="AE17" s="38" t="s">
        <v>42</v>
      </c>
      <c r="AF17" s="38" t="s">
        <v>43</v>
      </c>
      <c r="AG17" s="38" t="s">
        <v>43</v>
      </c>
      <c r="AH17" s="38" t="str">
        <f t="shared" ref="AH17:AO17" si="11">IF(AH$7="Sun","WO","")</f>
        <v>WO</v>
      </c>
      <c r="AI17" s="38" t="s">
        <v>43</v>
      </c>
      <c r="AJ17" s="38" t="s">
        <v>43</v>
      </c>
      <c r="AK17" s="38" t="s">
        <v>43</v>
      </c>
      <c r="AL17" s="38" t="s">
        <v>42</v>
      </c>
      <c r="AM17" s="38" t="s">
        <v>43</v>
      </c>
      <c r="AN17" s="38" t="s">
        <v>43</v>
      </c>
      <c r="AO17" s="39" t="str">
        <f t="shared" si="11"/>
        <v>WO</v>
      </c>
      <c r="AP17" s="50"/>
      <c r="AQ17" s="53"/>
      <c r="AR17" s="19">
        <v>9</v>
      </c>
      <c r="AS17" s="19">
        <v>1009</v>
      </c>
      <c r="AT17" s="19" t="str">
        <f t="shared" si="3"/>
        <v>August</v>
      </c>
      <c r="AU17" s="19" t="s">
        <v>11</v>
      </c>
      <c r="AV17" s="27">
        <f t="shared" si="4"/>
        <v>22</v>
      </c>
      <c r="AW17" s="22">
        <f t="shared" si="5"/>
        <v>1</v>
      </c>
      <c r="AX17" s="22">
        <f t="shared" si="6"/>
        <v>3</v>
      </c>
      <c r="AY17" s="22">
        <f t="shared" si="7"/>
        <v>5</v>
      </c>
      <c r="AZ17" s="22">
        <f t="shared" si="8"/>
        <v>31</v>
      </c>
      <c r="BA17" s="22">
        <f>Aug_Month[[#This Row],[Days]]-Aug_Month[[#This Row],[Absent]]</f>
        <v>30</v>
      </c>
      <c r="BB17" s="23">
        <v>25000</v>
      </c>
      <c r="BC17" s="23">
        <f>Aug_Month[[#This Row],[Salary]]/Aug_Month[[#This Row],[Days]]</f>
        <v>806.45161290322585</v>
      </c>
      <c r="BD17" s="24">
        <f>Aug_Month[[#This Row],[PerDay Salary]]*Aug_Month[[#This Row],[Absent]]</f>
        <v>806.45161290322585</v>
      </c>
      <c r="BE17" s="23">
        <f>Aug_Month[[#This Row],[Salary]]-Aug_Month[[#This Row],[Deduction]]</f>
        <v>24193.548387096773</v>
      </c>
      <c r="BF17" s="22"/>
      <c r="BG17" s="53"/>
    </row>
    <row r="18" spans="1:59" ht="15.75" x14ac:dyDescent="0.25">
      <c r="A18" s="47"/>
      <c r="B18" s="47"/>
      <c r="C18" s="47"/>
      <c r="D18" s="48"/>
      <c r="F18" s="50"/>
      <c r="G18" s="3">
        <v>10</v>
      </c>
      <c r="H18" s="4">
        <v>1010</v>
      </c>
      <c r="I18" s="5" t="s">
        <v>12</v>
      </c>
      <c r="J18" s="37">
        <f t="shared" si="9"/>
        <v>5</v>
      </c>
      <c r="K18" s="38" t="s">
        <v>43</v>
      </c>
      <c r="L18" s="38" t="s">
        <v>43</v>
      </c>
      <c r="M18" s="38" t="str">
        <f t="shared" ref="M18:T28" si="12">IF(M$7="Sun","WO","")</f>
        <v>WO</v>
      </c>
      <c r="N18" s="38" t="s">
        <v>43</v>
      </c>
      <c r="O18" s="38" t="s">
        <v>43</v>
      </c>
      <c r="P18" s="38" t="s">
        <v>43</v>
      </c>
      <c r="Q18" s="38" t="s">
        <v>43</v>
      </c>
      <c r="R18" s="38" t="s">
        <v>43</v>
      </c>
      <c r="S18" s="38" t="s">
        <v>42</v>
      </c>
      <c r="T18" s="38" t="str">
        <f t="shared" si="12"/>
        <v>WO</v>
      </c>
      <c r="U18" s="38" t="s">
        <v>43</v>
      </c>
      <c r="V18" s="38" t="s">
        <v>43</v>
      </c>
      <c r="W18" s="38" t="s">
        <v>43</v>
      </c>
      <c r="X18" s="38" t="s">
        <v>44</v>
      </c>
      <c r="Y18" s="38" t="s">
        <v>43</v>
      </c>
      <c r="Z18" s="38" t="s">
        <v>43</v>
      </c>
      <c r="AA18" s="38" t="str">
        <f t="shared" ref="AA18:AO28" si="13">IF(AA$7="Sun","WO","")</f>
        <v>WO</v>
      </c>
      <c r="AB18" s="38" t="s">
        <v>43</v>
      </c>
      <c r="AC18" s="38" t="s">
        <v>43</v>
      </c>
      <c r="AD18" s="38" t="s">
        <v>43</v>
      </c>
      <c r="AE18" s="38" t="s">
        <v>42</v>
      </c>
      <c r="AF18" s="38" t="s">
        <v>43</v>
      </c>
      <c r="AG18" s="38" t="s">
        <v>43</v>
      </c>
      <c r="AH18" s="38" t="str">
        <f t="shared" si="13"/>
        <v>WO</v>
      </c>
      <c r="AI18" s="38" t="s">
        <v>43</v>
      </c>
      <c r="AJ18" s="38" t="s">
        <v>43</v>
      </c>
      <c r="AK18" s="38" t="s">
        <v>44</v>
      </c>
      <c r="AL18" s="38" t="s">
        <v>42</v>
      </c>
      <c r="AM18" s="38" t="s">
        <v>43</v>
      </c>
      <c r="AN18" s="38" t="s">
        <v>43</v>
      </c>
      <c r="AO18" s="39" t="str">
        <f t="shared" si="13"/>
        <v>WO</v>
      </c>
      <c r="AP18" s="50"/>
      <c r="AQ18" s="53"/>
      <c r="AR18" s="19">
        <v>10</v>
      </c>
      <c r="AS18" s="19">
        <v>1010</v>
      </c>
      <c r="AT18" s="19" t="str">
        <f t="shared" si="3"/>
        <v>August</v>
      </c>
      <c r="AU18" s="19" t="s">
        <v>12</v>
      </c>
      <c r="AV18" s="27">
        <f t="shared" si="4"/>
        <v>21</v>
      </c>
      <c r="AW18" s="22">
        <f t="shared" si="5"/>
        <v>2</v>
      </c>
      <c r="AX18" s="22">
        <f t="shared" si="6"/>
        <v>3</v>
      </c>
      <c r="AY18" s="22">
        <f t="shared" si="7"/>
        <v>5</v>
      </c>
      <c r="AZ18" s="22">
        <f t="shared" si="8"/>
        <v>31</v>
      </c>
      <c r="BA18" s="22">
        <f>Aug_Month[[#This Row],[Days]]-Aug_Month[[#This Row],[Absent]]</f>
        <v>29</v>
      </c>
      <c r="BB18" s="23">
        <v>45000</v>
      </c>
      <c r="BC18" s="23">
        <f>Aug_Month[[#This Row],[Salary]]/Aug_Month[[#This Row],[Days]]</f>
        <v>1451.6129032258063</v>
      </c>
      <c r="BD18" s="24">
        <f>Aug_Month[[#This Row],[PerDay Salary]]*Aug_Month[[#This Row],[Absent]]</f>
        <v>2903.2258064516127</v>
      </c>
      <c r="BE18" s="23">
        <f>Aug_Month[[#This Row],[Salary]]-Aug_Month[[#This Row],[Deduction]]</f>
        <v>42096.774193548386</v>
      </c>
      <c r="BF18" s="22"/>
      <c r="BG18" s="53"/>
    </row>
    <row r="19" spans="1:59" ht="15.75" x14ac:dyDescent="0.25">
      <c r="A19" s="47"/>
      <c r="B19" s="47"/>
      <c r="C19" s="47"/>
      <c r="D19" s="48"/>
      <c r="F19" s="50"/>
      <c r="G19" s="3">
        <v>11</v>
      </c>
      <c r="H19" s="4">
        <v>1011</v>
      </c>
      <c r="I19" s="5" t="s">
        <v>13</v>
      </c>
      <c r="J19" s="37">
        <f t="shared" si="9"/>
        <v>5</v>
      </c>
      <c r="K19" s="38" t="s">
        <v>43</v>
      </c>
      <c r="L19" s="38" t="s">
        <v>43</v>
      </c>
      <c r="M19" s="38" t="str">
        <f t="shared" si="12"/>
        <v>WO</v>
      </c>
      <c r="N19" s="38" t="s">
        <v>43</v>
      </c>
      <c r="O19" s="38" t="s">
        <v>43</v>
      </c>
      <c r="P19" s="38" t="s">
        <v>43</v>
      </c>
      <c r="Q19" s="38" t="s">
        <v>43</v>
      </c>
      <c r="R19" s="38" t="s">
        <v>43</v>
      </c>
      <c r="S19" s="38" t="s">
        <v>42</v>
      </c>
      <c r="T19" s="38" t="str">
        <f t="shared" si="12"/>
        <v>WO</v>
      </c>
      <c r="U19" s="38" t="s">
        <v>43</v>
      </c>
      <c r="V19" s="38" t="s">
        <v>43</v>
      </c>
      <c r="W19" s="38" t="s">
        <v>44</v>
      </c>
      <c r="X19" s="38" t="s">
        <v>43</v>
      </c>
      <c r="Y19" s="38" t="s">
        <v>43</v>
      </c>
      <c r="Z19" s="38" t="s">
        <v>43</v>
      </c>
      <c r="AA19" s="38" t="str">
        <f t="shared" si="13"/>
        <v>WO</v>
      </c>
      <c r="AB19" s="38" t="s">
        <v>43</v>
      </c>
      <c r="AC19" s="38" t="s">
        <v>43</v>
      </c>
      <c r="AD19" s="38" t="s">
        <v>43</v>
      </c>
      <c r="AE19" s="38" t="s">
        <v>42</v>
      </c>
      <c r="AF19" s="38" t="s">
        <v>43</v>
      </c>
      <c r="AG19" s="38" t="s">
        <v>43</v>
      </c>
      <c r="AH19" s="38" t="str">
        <f t="shared" si="13"/>
        <v>WO</v>
      </c>
      <c r="AI19" s="38" t="s">
        <v>43</v>
      </c>
      <c r="AJ19" s="38" t="s">
        <v>43</v>
      </c>
      <c r="AK19" s="38" t="s">
        <v>43</v>
      </c>
      <c r="AL19" s="38" t="s">
        <v>42</v>
      </c>
      <c r="AM19" s="38" t="s">
        <v>43</v>
      </c>
      <c r="AN19" s="38" t="s">
        <v>43</v>
      </c>
      <c r="AO19" s="39" t="str">
        <f t="shared" si="13"/>
        <v>WO</v>
      </c>
      <c r="AP19" s="50"/>
      <c r="AQ19" s="53"/>
      <c r="AR19" s="19">
        <v>11</v>
      </c>
      <c r="AS19" s="19">
        <v>1011</v>
      </c>
      <c r="AT19" s="19" t="str">
        <f t="shared" si="3"/>
        <v>August</v>
      </c>
      <c r="AU19" s="19" t="s">
        <v>13</v>
      </c>
      <c r="AV19" s="27">
        <f t="shared" si="4"/>
        <v>22</v>
      </c>
      <c r="AW19" s="22">
        <f t="shared" si="5"/>
        <v>1</v>
      </c>
      <c r="AX19" s="22">
        <f t="shared" si="6"/>
        <v>3</v>
      </c>
      <c r="AY19" s="22">
        <f t="shared" si="7"/>
        <v>5</v>
      </c>
      <c r="AZ19" s="22">
        <f t="shared" si="8"/>
        <v>31</v>
      </c>
      <c r="BA19" s="22">
        <f>Aug_Month[[#This Row],[Days]]-Aug_Month[[#This Row],[Absent]]</f>
        <v>30</v>
      </c>
      <c r="BB19" s="23">
        <v>48000</v>
      </c>
      <c r="BC19" s="23">
        <f>Aug_Month[[#This Row],[Salary]]/Aug_Month[[#This Row],[Days]]</f>
        <v>1548.3870967741937</v>
      </c>
      <c r="BD19" s="24">
        <f>Aug_Month[[#This Row],[PerDay Salary]]*Aug_Month[[#This Row],[Absent]]</f>
        <v>1548.3870967741937</v>
      </c>
      <c r="BE19" s="23">
        <f>Aug_Month[[#This Row],[Salary]]-Aug_Month[[#This Row],[Deduction]]</f>
        <v>46451.612903225803</v>
      </c>
      <c r="BF19" s="22"/>
      <c r="BG19" s="53"/>
    </row>
    <row r="20" spans="1:59" ht="15.75" x14ac:dyDescent="0.25">
      <c r="A20" s="47"/>
      <c r="B20" s="47"/>
      <c r="C20" s="47"/>
      <c r="D20" s="48"/>
      <c r="F20" s="50"/>
      <c r="G20" s="3">
        <v>12</v>
      </c>
      <c r="H20" s="4">
        <v>1012</v>
      </c>
      <c r="I20" s="5" t="s">
        <v>14</v>
      </c>
      <c r="J20" s="37">
        <f t="shared" si="9"/>
        <v>5</v>
      </c>
      <c r="K20" s="38" t="s">
        <v>43</v>
      </c>
      <c r="L20" s="38" t="s">
        <v>43</v>
      </c>
      <c r="M20" s="38" t="str">
        <f t="shared" si="12"/>
        <v>WO</v>
      </c>
      <c r="N20" s="38" t="s">
        <v>43</v>
      </c>
      <c r="O20" s="38" t="s">
        <v>43</v>
      </c>
      <c r="P20" s="38" t="s">
        <v>43</v>
      </c>
      <c r="Q20" s="38" t="s">
        <v>43</v>
      </c>
      <c r="R20" s="38" t="s">
        <v>43</v>
      </c>
      <c r="S20" s="38" t="s">
        <v>42</v>
      </c>
      <c r="T20" s="38" t="str">
        <f t="shared" si="12"/>
        <v>WO</v>
      </c>
      <c r="U20" s="38" t="s">
        <v>43</v>
      </c>
      <c r="V20" s="38" t="s">
        <v>44</v>
      </c>
      <c r="W20" s="38" t="s">
        <v>43</v>
      </c>
      <c r="X20" s="38" t="s">
        <v>43</v>
      </c>
      <c r="Y20" s="38" t="s">
        <v>43</v>
      </c>
      <c r="Z20" s="38" t="s">
        <v>43</v>
      </c>
      <c r="AA20" s="38" t="str">
        <f t="shared" si="13"/>
        <v>WO</v>
      </c>
      <c r="AB20" s="38" t="s">
        <v>43</v>
      </c>
      <c r="AC20" s="38" t="s">
        <v>43</v>
      </c>
      <c r="AD20" s="38" t="s">
        <v>43</v>
      </c>
      <c r="AE20" s="38" t="s">
        <v>42</v>
      </c>
      <c r="AF20" s="38" t="s">
        <v>43</v>
      </c>
      <c r="AG20" s="38" t="s">
        <v>43</v>
      </c>
      <c r="AH20" s="38" t="str">
        <f t="shared" si="13"/>
        <v>WO</v>
      </c>
      <c r="AI20" s="38" t="s">
        <v>43</v>
      </c>
      <c r="AJ20" s="38" t="s">
        <v>43</v>
      </c>
      <c r="AK20" s="38" t="s">
        <v>43</v>
      </c>
      <c r="AL20" s="38" t="s">
        <v>42</v>
      </c>
      <c r="AM20" s="38" t="s">
        <v>43</v>
      </c>
      <c r="AN20" s="38" t="s">
        <v>43</v>
      </c>
      <c r="AO20" s="39" t="str">
        <f t="shared" si="13"/>
        <v>WO</v>
      </c>
      <c r="AP20" s="50"/>
      <c r="AQ20" s="53"/>
      <c r="AR20" s="19">
        <v>12</v>
      </c>
      <c r="AS20" s="19">
        <v>1012</v>
      </c>
      <c r="AT20" s="19" t="str">
        <f t="shared" si="3"/>
        <v>August</v>
      </c>
      <c r="AU20" s="19" t="s">
        <v>14</v>
      </c>
      <c r="AV20" s="27">
        <f t="shared" si="4"/>
        <v>22</v>
      </c>
      <c r="AW20" s="22">
        <f t="shared" si="5"/>
        <v>1</v>
      </c>
      <c r="AX20" s="22">
        <f t="shared" si="6"/>
        <v>3</v>
      </c>
      <c r="AY20" s="22">
        <f t="shared" si="7"/>
        <v>5</v>
      </c>
      <c r="AZ20" s="22">
        <f t="shared" si="8"/>
        <v>31</v>
      </c>
      <c r="BA20" s="22">
        <f>Aug_Month[[#This Row],[Days]]-Aug_Month[[#This Row],[Absent]]</f>
        <v>30</v>
      </c>
      <c r="BB20" s="23">
        <v>52000</v>
      </c>
      <c r="BC20" s="23">
        <f>Aug_Month[[#This Row],[Salary]]/Aug_Month[[#This Row],[Days]]</f>
        <v>1677.4193548387098</v>
      </c>
      <c r="BD20" s="24">
        <f>Aug_Month[[#This Row],[PerDay Salary]]*Aug_Month[[#This Row],[Absent]]</f>
        <v>1677.4193548387098</v>
      </c>
      <c r="BE20" s="23">
        <f>Aug_Month[[#This Row],[Salary]]-Aug_Month[[#This Row],[Deduction]]</f>
        <v>50322.580645161288</v>
      </c>
      <c r="BF20" s="22"/>
      <c r="BG20" s="53"/>
    </row>
    <row r="21" spans="1:59" ht="15.75" x14ac:dyDescent="0.25">
      <c r="A21" s="47"/>
      <c r="B21" s="47"/>
      <c r="C21" s="47"/>
      <c r="D21" s="48"/>
      <c r="F21" s="50"/>
      <c r="G21" s="3">
        <v>13</v>
      </c>
      <c r="H21" s="4">
        <v>1013</v>
      </c>
      <c r="I21" s="5" t="s">
        <v>15</v>
      </c>
      <c r="J21" s="37">
        <f t="shared" si="9"/>
        <v>5</v>
      </c>
      <c r="K21" s="38" t="s">
        <v>43</v>
      </c>
      <c r="L21" s="38" t="s">
        <v>43</v>
      </c>
      <c r="M21" s="38" t="str">
        <f t="shared" si="12"/>
        <v>WO</v>
      </c>
      <c r="N21" s="38" t="s">
        <v>43</v>
      </c>
      <c r="O21" s="38" t="s">
        <v>43</v>
      </c>
      <c r="P21" s="38" t="s">
        <v>43</v>
      </c>
      <c r="Q21" s="38" t="s">
        <v>43</v>
      </c>
      <c r="R21" s="38" t="s">
        <v>43</v>
      </c>
      <c r="S21" s="38" t="s">
        <v>42</v>
      </c>
      <c r="T21" s="38" t="str">
        <f t="shared" si="12"/>
        <v>WO</v>
      </c>
      <c r="U21" s="38" t="s">
        <v>44</v>
      </c>
      <c r="V21" s="38" t="s">
        <v>43</v>
      </c>
      <c r="W21" s="38" t="s">
        <v>43</v>
      </c>
      <c r="X21" s="38" t="s">
        <v>43</v>
      </c>
      <c r="Y21" s="38" t="s">
        <v>43</v>
      </c>
      <c r="Z21" s="38" t="s">
        <v>43</v>
      </c>
      <c r="AA21" s="38" t="str">
        <f t="shared" si="13"/>
        <v>WO</v>
      </c>
      <c r="AB21" s="38" t="s">
        <v>43</v>
      </c>
      <c r="AC21" s="38" t="s">
        <v>43</v>
      </c>
      <c r="AD21" s="38" t="s">
        <v>43</v>
      </c>
      <c r="AE21" s="38" t="s">
        <v>42</v>
      </c>
      <c r="AF21" s="38" t="s">
        <v>43</v>
      </c>
      <c r="AG21" s="38" t="s">
        <v>43</v>
      </c>
      <c r="AH21" s="38" t="str">
        <f t="shared" si="13"/>
        <v>WO</v>
      </c>
      <c r="AI21" s="38" t="s">
        <v>43</v>
      </c>
      <c r="AJ21" s="38" t="s">
        <v>43</v>
      </c>
      <c r="AK21" s="38" t="s">
        <v>43</v>
      </c>
      <c r="AL21" s="38" t="s">
        <v>42</v>
      </c>
      <c r="AM21" s="38" t="s">
        <v>43</v>
      </c>
      <c r="AN21" s="38" t="s">
        <v>43</v>
      </c>
      <c r="AO21" s="39" t="str">
        <f t="shared" si="13"/>
        <v>WO</v>
      </c>
      <c r="AP21" s="50"/>
      <c r="AQ21" s="53"/>
      <c r="AR21" s="19">
        <v>13</v>
      </c>
      <c r="AS21" s="19">
        <v>1013</v>
      </c>
      <c r="AT21" s="19" t="str">
        <f t="shared" si="3"/>
        <v>August</v>
      </c>
      <c r="AU21" s="19" t="s">
        <v>15</v>
      </c>
      <c r="AV21" s="27">
        <f t="shared" si="4"/>
        <v>22</v>
      </c>
      <c r="AW21" s="22">
        <f t="shared" si="5"/>
        <v>1</v>
      </c>
      <c r="AX21" s="22">
        <f t="shared" si="6"/>
        <v>3</v>
      </c>
      <c r="AY21" s="22">
        <f t="shared" si="7"/>
        <v>5</v>
      </c>
      <c r="AZ21" s="22">
        <f t="shared" si="8"/>
        <v>31</v>
      </c>
      <c r="BA21" s="22">
        <f>Aug_Month[[#This Row],[Days]]-Aug_Month[[#This Row],[Absent]]</f>
        <v>30</v>
      </c>
      <c r="BB21" s="23">
        <v>42000</v>
      </c>
      <c r="BC21" s="23">
        <f>Aug_Month[[#This Row],[Salary]]/Aug_Month[[#This Row],[Days]]</f>
        <v>1354.8387096774193</v>
      </c>
      <c r="BD21" s="24">
        <f>Aug_Month[[#This Row],[PerDay Salary]]*Aug_Month[[#This Row],[Absent]]</f>
        <v>1354.8387096774193</v>
      </c>
      <c r="BE21" s="23">
        <f>Aug_Month[[#This Row],[Salary]]-Aug_Month[[#This Row],[Deduction]]</f>
        <v>40645.161290322583</v>
      </c>
      <c r="BF21" s="22"/>
      <c r="BG21" s="53"/>
    </row>
    <row r="22" spans="1:59" ht="15.75" x14ac:dyDescent="0.25">
      <c r="A22" s="47"/>
      <c r="B22" s="47"/>
      <c r="C22" s="47"/>
      <c r="D22" s="48"/>
      <c r="F22" s="50"/>
      <c r="G22" s="3">
        <v>14</v>
      </c>
      <c r="H22" s="4">
        <v>1014</v>
      </c>
      <c r="I22" s="5" t="s">
        <v>16</v>
      </c>
      <c r="J22" s="37">
        <f t="shared" si="9"/>
        <v>5</v>
      </c>
      <c r="K22" s="38" t="s">
        <v>43</v>
      </c>
      <c r="L22" s="38" t="s">
        <v>43</v>
      </c>
      <c r="M22" s="38" t="str">
        <f t="shared" si="12"/>
        <v>WO</v>
      </c>
      <c r="N22" s="38" t="s">
        <v>43</v>
      </c>
      <c r="O22" s="38" t="s">
        <v>43</v>
      </c>
      <c r="P22" s="38" t="s">
        <v>43</v>
      </c>
      <c r="Q22" s="38" t="s">
        <v>43</v>
      </c>
      <c r="R22" s="38" t="s">
        <v>44</v>
      </c>
      <c r="S22" s="38" t="s">
        <v>42</v>
      </c>
      <c r="T22" s="38" t="str">
        <f t="shared" si="12"/>
        <v>WO</v>
      </c>
      <c r="U22" s="38" t="s">
        <v>43</v>
      </c>
      <c r="V22" s="38" t="s">
        <v>43</v>
      </c>
      <c r="W22" s="38" t="s">
        <v>43</v>
      </c>
      <c r="X22" s="38" t="s">
        <v>43</v>
      </c>
      <c r="Y22" s="38" t="s">
        <v>43</v>
      </c>
      <c r="Z22" s="38" t="s">
        <v>43</v>
      </c>
      <c r="AA22" s="38" t="str">
        <f t="shared" si="13"/>
        <v>WO</v>
      </c>
      <c r="AB22" s="38" t="s">
        <v>43</v>
      </c>
      <c r="AC22" s="38" t="s">
        <v>43</v>
      </c>
      <c r="AD22" s="38" t="s">
        <v>43</v>
      </c>
      <c r="AE22" s="38" t="s">
        <v>42</v>
      </c>
      <c r="AF22" s="38" t="s">
        <v>43</v>
      </c>
      <c r="AG22" s="38" t="s">
        <v>43</v>
      </c>
      <c r="AH22" s="38" t="str">
        <f t="shared" si="13"/>
        <v>WO</v>
      </c>
      <c r="AI22" s="38" t="s">
        <v>43</v>
      </c>
      <c r="AJ22" s="38" t="s">
        <v>43</v>
      </c>
      <c r="AK22" s="38" t="s">
        <v>43</v>
      </c>
      <c r="AL22" s="38" t="s">
        <v>42</v>
      </c>
      <c r="AM22" s="38" t="s">
        <v>43</v>
      </c>
      <c r="AN22" s="38" t="s">
        <v>43</v>
      </c>
      <c r="AO22" s="39" t="str">
        <f t="shared" si="13"/>
        <v>WO</v>
      </c>
      <c r="AP22" s="50"/>
      <c r="AQ22" s="53"/>
      <c r="AR22" s="19">
        <v>14</v>
      </c>
      <c r="AS22" s="19">
        <v>1014</v>
      </c>
      <c r="AT22" s="19" t="str">
        <f t="shared" si="3"/>
        <v>August</v>
      </c>
      <c r="AU22" s="19" t="s">
        <v>16</v>
      </c>
      <c r="AV22" s="27">
        <f t="shared" si="4"/>
        <v>22</v>
      </c>
      <c r="AW22" s="22">
        <f t="shared" si="5"/>
        <v>1</v>
      </c>
      <c r="AX22" s="22">
        <f t="shared" si="6"/>
        <v>3</v>
      </c>
      <c r="AY22" s="22">
        <f t="shared" si="7"/>
        <v>5</v>
      </c>
      <c r="AZ22" s="22">
        <f t="shared" si="8"/>
        <v>31</v>
      </c>
      <c r="BA22" s="22">
        <f>Aug_Month[[#This Row],[Days]]-Aug_Month[[#This Row],[Absent]]</f>
        <v>30</v>
      </c>
      <c r="BB22" s="23">
        <v>15000</v>
      </c>
      <c r="BC22" s="23">
        <f>Aug_Month[[#This Row],[Salary]]/Aug_Month[[#This Row],[Days]]</f>
        <v>483.87096774193549</v>
      </c>
      <c r="BD22" s="24">
        <f>Aug_Month[[#This Row],[PerDay Salary]]*Aug_Month[[#This Row],[Absent]]</f>
        <v>483.87096774193549</v>
      </c>
      <c r="BE22" s="23">
        <f>Aug_Month[[#This Row],[Salary]]-Aug_Month[[#This Row],[Deduction]]</f>
        <v>14516.129032258064</v>
      </c>
      <c r="BF22" s="22"/>
      <c r="BG22" s="53"/>
    </row>
    <row r="23" spans="1:59" ht="15.75" x14ac:dyDescent="0.25">
      <c r="A23" s="47"/>
      <c r="B23" s="47"/>
      <c r="C23" s="47"/>
      <c r="D23" s="48"/>
      <c r="F23" s="50"/>
      <c r="G23" s="3">
        <v>15</v>
      </c>
      <c r="H23" s="4">
        <v>1015</v>
      </c>
      <c r="I23" s="5" t="s">
        <v>17</v>
      </c>
      <c r="J23" s="37">
        <f t="shared" si="9"/>
        <v>5</v>
      </c>
      <c r="K23" s="38" t="s">
        <v>43</v>
      </c>
      <c r="L23" s="38" t="s">
        <v>43</v>
      </c>
      <c r="M23" s="38" t="str">
        <f t="shared" si="12"/>
        <v>WO</v>
      </c>
      <c r="N23" s="38" t="s">
        <v>43</v>
      </c>
      <c r="O23" s="38" t="s">
        <v>43</v>
      </c>
      <c r="P23" s="38" t="s">
        <v>43</v>
      </c>
      <c r="Q23" s="38" t="s">
        <v>44</v>
      </c>
      <c r="R23" s="38" t="s">
        <v>43</v>
      </c>
      <c r="S23" s="38" t="s">
        <v>42</v>
      </c>
      <c r="T23" s="38" t="str">
        <f t="shared" si="12"/>
        <v>WO</v>
      </c>
      <c r="U23" s="38" t="s">
        <v>43</v>
      </c>
      <c r="V23" s="38" t="s">
        <v>43</v>
      </c>
      <c r="W23" s="38" t="s">
        <v>43</v>
      </c>
      <c r="X23" s="38" t="s">
        <v>43</v>
      </c>
      <c r="Y23" s="38" t="s">
        <v>43</v>
      </c>
      <c r="Z23" s="38" t="s">
        <v>43</v>
      </c>
      <c r="AA23" s="38" t="str">
        <f t="shared" si="13"/>
        <v>WO</v>
      </c>
      <c r="AB23" s="38" t="s">
        <v>43</v>
      </c>
      <c r="AC23" s="38" t="s">
        <v>44</v>
      </c>
      <c r="AD23" s="38" t="s">
        <v>43</v>
      </c>
      <c r="AE23" s="38" t="s">
        <v>42</v>
      </c>
      <c r="AF23" s="38" t="s">
        <v>43</v>
      </c>
      <c r="AG23" s="38" t="s">
        <v>43</v>
      </c>
      <c r="AH23" s="38" t="str">
        <f t="shared" si="13"/>
        <v>WO</v>
      </c>
      <c r="AI23" s="38" t="s">
        <v>43</v>
      </c>
      <c r="AJ23" s="38" t="s">
        <v>43</v>
      </c>
      <c r="AK23" s="38" t="s">
        <v>43</v>
      </c>
      <c r="AL23" s="38" t="s">
        <v>42</v>
      </c>
      <c r="AM23" s="38" t="s">
        <v>43</v>
      </c>
      <c r="AN23" s="38" t="s">
        <v>43</v>
      </c>
      <c r="AO23" s="39" t="str">
        <f t="shared" si="13"/>
        <v>WO</v>
      </c>
      <c r="AP23" s="50"/>
      <c r="AQ23" s="53"/>
      <c r="AR23" s="19">
        <v>15</v>
      </c>
      <c r="AS23" s="19">
        <v>1015</v>
      </c>
      <c r="AT23" s="19" t="str">
        <f t="shared" si="3"/>
        <v>August</v>
      </c>
      <c r="AU23" s="19" t="s">
        <v>17</v>
      </c>
      <c r="AV23" s="27">
        <f t="shared" si="4"/>
        <v>21</v>
      </c>
      <c r="AW23" s="22">
        <f t="shared" si="5"/>
        <v>2</v>
      </c>
      <c r="AX23" s="22">
        <f t="shared" si="6"/>
        <v>3</v>
      </c>
      <c r="AY23" s="22">
        <f t="shared" si="7"/>
        <v>5</v>
      </c>
      <c r="AZ23" s="22">
        <f t="shared" si="8"/>
        <v>31</v>
      </c>
      <c r="BA23" s="22">
        <f>Aug_Month[[#This Row],[Days]]-Aug_Month[[#This Row],[Absent]]</f>
        <v>29</v>
      </c>
      <c r="BB23" s="23">
        <v>46000</v>
      </c>
      <c r="BC23" s="23">
        <f>Aug_Month[[#This Row],[Salary]]/Aug_Month[[#This Row],[Days]]</f>
        <v>1483.8709677419354</v>
      </c>
      <c r="BD23" s="24">
        <f>Aug_Month[[#This Row],[PerDay Salary]]*Aug_Month[[#This Row],[Absent]]</f>
        <v>2967.7419354838707</v>
      </c>
      <c r="BE23" s="23">
        <f>Aug_Month[[#This Row],[Salary]]-Aug_Month[[#This Row],[Deduction]]</f>
        <v>43032.258064516129</v>
      </c>
      <c r="BF23" s="22"/>
      <c r="BG23" s="53"/>
    </row>
    <row r="24" spans="1:59" ht="15.75" x14ac:dyDescent="0.25">
      <c r="A24" s="47"/>
      <c r="B24" s="47"/>
      <c r="C24" s="47"/>
      <c r="D24" s="48"/>
      <c r="F24" s="50"/>
      <c r="G24" s="3">
        <v>16</v>
      </c>
      <c r="H24" s="4">
        <v>1016</v>
      </c>
      <c r="I24" s="5" t="s">
        <v>18</v>
      </c>
      <c r="J24" s="37">
        <f t="shared" si="9"/>
        <v>5</v>
      </c>
      <c r="K24" s="38" t="s">
        <v>43</v>
      </c>
      <c r="L24" s="38" t="s">
        <v>43</v>
      </c>
      <c r="M24" s="38" t="str">
        <f t="shared" si="12"/>
        <v>WO</v>
      </c>
      <c r="N24" s="38" t="s">
        <v>43</v>
      </c>
      <c r="O24" s="38" t="s">
        <v>43</v>
      </c>
      <c r="P24" s="38" t="s">
        <v>44</v>
      </c>
      <c r="Q24" s="38" t="s">
        <v>43</v>
      </c>
      <c r="R24" s="38" t="s">
        <v>43</v>
      </c>
      <c r="S24" s="38" t="s">
        <v>42</v>
      </c>
      <c r="T24" s="38" t="str">
        <f t="shared" si="12"/>
        <v>WO</v>
      </c>
      <c r="U24" s="38" t="s">
        <v>43</v>
      </c>
      <c r="V24" s="38" t="s">
        <v>43</v>
      </c>
      <c r="W24" s="38" t="s">
        <v>43</v>
      </c>
      <c r="X24" s="38" t="s">
        <v>43</v>
      </c>
      <c r="Y24" s="38" t="s">
        <v>43</v>
      </c>
      <c r="Z24" s="38" t="s">
        <v>43</v>
      </c>
      <c r="AA24" s="38" t="str">
        <f t="shared" si="13"/>
        <v>WO</v>
      </c>
      <c r="AB24" s="38" t="s">
        <v>43</v>
      </c>
      <c r="AC24" s="38" t="s">
        <v>43</v>
      </c>
      <c r="AD24" s="38" t="s">
        <v>43</v>
      </c>
      <c r="AE24" s="38" t="s">
        <v>42</v>
      </c>
      <c r="AF24" s="38" t="s">
        <v>43</v>
      </c>
      <c r="AG24" s="38" t="s">
        <v>43</v>
      </c>
      <c r="AH24" s="38" t="str">
        <f t="shared" si="13"/>
        <v>WO</v>
      </c>
      <c r="AI24" s="38" t="s">
        <v>43</v>
      </c>
      <c r="AJ24" s="38" t="s">
        <v>43</v>
      </c>
      <c r="AK24" s="38" t="s">
        <v>43</v>
      </c>
      <c r="AL24" s="38" t="s">
        <v>42</v>
      </c>
      <c r="AM24" s="38" t="s">
        <v>43</v>
      </c>
      <c r="AN24" s="38" t="s">
        <v>43</v>
      </c>
      <c r="AO24" s="39" t="str">
        <f t="shared" si="13"/>
        <v>WO</v>
      </c>
      <c r="AP24" s="50"/>
      <c r="AQ24" s="53"/>
      <c r="AR24" s="19">
        <v>16</v>
      </c>
      <c r="AS24" s="19">
        <v>1016</v>
      </c>
      <c r="AT24" s="19" t="str">
        <f t="shared" si="3"/>
        <v>August</v>
      </c>
      <c r="AU24" s="19" t="s">
        <v>18</v>
      </c>
      <c r="AV24" s="27">
        <f t="shared" si="4"/>
        <v>22</v>
      </c>
      <c r="AW24" s="22">
        <f t="shared" si="5"/>
        <v>1</v>
      </c>
      <c r="AX24" s="22">
        <f t="shared" si="6"/>
        <v>3</v>
      </c>
      <c r="AY24" s="22">
        <f t="shared" si="7"/>
        <v>5</v>
      </c>
      <c r="AZ24" s="22">
        <f t="shared" si="8"/>
        <v>31</v>
      </c>
      <c r="BA24" s="22">
        <f>Aug_Month[[#This Row],[Days]]-Aug_Month[[#This Row],[Absent]]</f>
        <v>30</v>
      </c>
      <c r="BB24" s="23">
        <v>52000</v>
      </c>
      <c r="BC24" s="23">
        <f>Aug_Month[[#This Row],[Salary]]/Aug_Month[[#This Row],[Days]]</f>
        <v>1677.4193548387098</v>
      </c>
      <c r="BD24" s="24">
        <f>Aug_Month[[#This Row],[PerDay Salary]]*Aug_Month[[#This Row],[Absent]]</f>
        <v>1677.4193548387098</v>
      </c>
      <c r="BE24" s="23">
        <f>Aug_Month[[#This Row],[Salary]]-Aug_Month[[#This Row],[Deduction]]</f>
        <v>50322.580645161288</v>
      </c>
      <c r="BF24" s="22"/>
      <c r="BG24" s="53"/>
    </row>
    <row r="25" spans="1:59" ht="15.75" x14ac:dyDescent="0.25">
      <c r="A25" s="47"/>
      <c r="B25" s="47"/>
      <c r="C25" s="47"/>
      <c r="D25" s="48"/>
      <c r="F25" s="50"/>
      <c r="G25" s="3">
        <v>17</v>
      </c>
      <c r="H25" s="4">
        <v>1017</v>
      </c>
      <c r="I25" s="5" t="s">
        <v>19</v>
      </c>
      <c r="J25" s="37">
        <f t="shared" si="9"/>
        <v>5</v>
      </c>
      <c r="K25" s="38" t="s">
        <v>43</v>
      </c>
      <c r="L25" s="38" t="s">
        <v>43</v>
      </c>
      <c r="M25" s="38" t="str">
        <f t="shared" si="12"/>
        <v>WO</v>
      </c>
      <c r="N25" s="38" t="s">
        <v>43</v>
      </c>
      <c r="O25" s="38" t="s">
        <v>44</v>
      </c>
      <c r="P25" s="38" t="s">
        <v>43</v>
      </c>
      <c r="Q25" s="38" t="s">
        <v>43</v>
      </c>
      <c r="R25" s="38" t="s">
        <v>43</v>
      </c>
      <c r="S25" s="38" t="s">
        <v>42</v>
      </c>
      <c r="T25" s="38" t="str">
        <f t="shared" si="12"/>
        <v>WO</v>
      </c>
      <c r="U25" s="38" t="s">
        <v>43</v>
      </c>
      <c r="V25" s="38" t="s">
        <v>43</v>
      </c>
      <c r="W25" s="38" t="s">
        <v>43</v>
      </c>
      <c r="X25" s="38" t="s">
        <v>43</v>
      </c>
      <c r="Y25" s="38" t="s">
        <v>43</v>
      </c>
      <c r="Z25" s="38" t="s">
        <v>43</v>
      </c>
      <c r="AA25" s="38" t="str">
        <f t="shared" si="13"/>
        <v>WO</v>
      </c>
      <c r="AB25" s="38" t="s">
        <v>43</v>
      </c>
      <c r="AC25" s="38" t="s">
        <v>43</v>
      </c>
      <c r="AD25" s="38" t="s">
        <v>43</v>
      </c>
      <c r="AE25" s="38" t="s">
        <v>42</v>
      </c>
      <c r="AF25" s="38" t="s">
        <v>43</v>
      </c>
      <c r="AG25" s="38" t="s">
        <v>43</v>
      </c>
      <c r="AH25" s="38" t="str">
        <f t="shared" si="13"/>
        <v>WO</v>
      </c>
      <c r="AI25" s="38" t="s">
        <v>43</v>
      </c>
      <c r="AJ25" s="38" t="s">
        <v>43</v>
      </c>
      <c r="AK25" s="38" t="s">
        <v>43</v>
      </c>
      <c r="AL25" s="38" t="s">
        <v>42</v>
      </c>
      <c r="AM25" s="38" t="s">
        <v>43</v>
      </c>
      <c r="AN25" s="38" t="s">
        <v>43</v>
      </c>
      <c r="AO25" s="39" t="str">
        <f t="shared" si="13"/>
        <v>WO</v>
      </c>
      <c r="AP25" s="50"/>
      <c r="AQ25" s="53"/>
      <c r="AR25" s="19">
        <v>17</v>
      </c>
      <c r="AS25" s="19">
        <v>1017</v>
      </c>
      <c r="AT25" s="19" t="str">
        <f t="shared" si="3"/>
        <v>August</v>
      </c>
      <c r="AU25" s="19" t="s">
        <v>19</v>
      </c>
      <c r="AV25" s="27">
        <f t="shared" si="4"/>
        <v>22</v>
      </c>
      <c r="AW25" s="22">
        <f t="shared" si="5"/>
        <v>1</v>
      </c>
      <c r="AX25" s="22">
        <f t="shared" si="6"/>
        <v>3</v>
      </c>
      <c r="AY25" s="22">
        <f t="shared" si="7"/>
        <v>5</v>
      </c>
      <c r="AZ25" s="22">
        <f t="shared" si="8"/>
        <v>31</v>
      </c>
      <c r="BA25" s="22">
        <f>Aug_Month[[#This Row],[Days]]-Aug_Month[[#This Row],[Absent]]</f>
        <v>30</v>
      </c>
      <c r="BB25" s="23">
        <v>42000</v>
      </c>
      <c r="BC25" s="23">
        <f>Aug_Month[[#This Row],[Salary]]/Aug_Month[[#This Row],[Days]]</f>
        <v>1354.8387096774193</v>
      </c>
      <c r="BD25" s="24">
        <f>Aug_Month[[#This Row],[PerDay Salary]]*Aug_Month[[#This Row],[Absent]]</f>
        <v>1354.8387096774193</v>
      </c>
      <c r="BE25" s="23">
        <f>Aug_Month[[#This Row],[Salary]]-Aug_Month[[#This Row],[Deduction]]</f>
        <v>40645.161290322583</v>
      </c>
      <c r="BF25" s="22"/>
      <c r="BG25" s="53"/>
    </row>
    <row r="26" spans="1:59" ht="15.75" x14ac:dyDescent="0.25">
      <c r="A26" s="47"/>
      <c r="B26" s="47"/>
      <c r="C26" s="47"/>
      <c r="D26" s="48"/>
      <c r="F26" s="50"/>
      <c r="G26" s="3">
        <v>18</v>
      </c>
      <c r="H26" s="4">
        <v>1018</v>
      </c>
      <c r="I26" s="5" t="s">
        <v>20</v>
      </c>
      <c r="J26" s="37">
        <f t="shared" si="9"/>
        <v>5</v>
      </c>
      <c r="K26" s="38" t="s">
        <v>43</v>
      </c>
      <c r="L26" s="38" t="s">
        <v>43</v>
      </c>
      <c r="M26" s="38" t="str">
        <f t="shared" si="12"/>
        <v>WO</v>
      </c>
      <c r="N26" s="38" t="s">
        <v>44</v>
      </c>
      <c r="O26" s="38" t="s">
        <v>43</v>
      </c>
      <c r="P26" s="38" t="s">
        <v>43</v>
      </c>
      <c r="Q26" s="38" t="s">
        <v>43</v>
      </c>
      <c r="R26" s="38" t="s">
        <v>43</v>
      </c>
      <c r="S26" s="38" t="s">
        <v>42</v>
      </c>
      <c r="T26" s="38" t="str">
        <f t="shared" si="12"/>
        <v>WO</v>
      </c>
      <c r="U26" s="38" t="s">
        <v>43</v>
      </c>
      <c r="V26" s="38" t="s">
        <v>43</v>
      </c>
      <c r="W26" s="38" t="s">
        <v>43</v>
      </c>
      <c r="X26" s="38" t="s">
        <v>43</v>
      </c>
      <c r="Y26" s="38" t="s">
        <v>43</v>
      </c>
      <c r="Z26" s="38" t="s">
        <v>43</v>
      </c>
      <c r="AA26" s="38" t="str">
        <f t="shared" si="13"/>
        <v>WO</v>
      </c>
      <c r="AB26" s="38" t="s">
        <v>43</v>
      </c>
      <c r="AC26" s="38" t="s">
        <v>43</v>
      </c>
      <c r="AD26" s="38" t="s">
        <v>43</v>
      </c>
      <c r="AE26" s="38" t="s">
        <v>42</v>
      </c>
      <c r="AF26" s="38" t="s">
        <v>43</v>
      </c>
      <c r="AG26" s="38" t="s">
        <v>43</v>
      </c>
      <c r="AH26" s="38" t="str">
        <f t="shared" si="13"/>
        <v>WO</v>
      </c>
      <c r="AI26" s="38" t="s">
        <v>43</v>
      </c>
      <c r="AJ26" s="38" t="s">
        <v>43</v>
      </c>
      <c r="AK26" s="38" t="s">
        <v>43</v>
      </c>
      <c r="AL26" s="38" t="s">
        <v>42</v>
      </c>
      <c r="AM26" s="38" t="s">
        <v>44</v>
      </c>
      <c r="AN26" s="38" t="s">
        <v>43</v>
      </c>
      <c r="AO26" s="39" t="str">
        <f t="shared" si="13"/>
        <v>WO</v>
      </c>
      <c r="AP26" s="50"/>
      <c r="AQ26" s="53"/>
      <c r="AR26" s="19">
        <v>18</v>
      </c>
      <c r="AS26" s="19">
        <v>1018</v>
      </c>
      <c r="AT26" s="19" t="str">
        <f t="shared" si="3"/>
        <v>August</v>
      </c>
      <c r="AU26" s="19" t="s">
        <v>20</v>
      </c>
      <c r="AV26" s="27">
        <f t="shared" si="4"/>
        <v>21</v>
      </c>
      <c r="AW26" s="22">
        <f t="shared" si="5"/>
        <v>2</v>
      </c>
      <c r="AX26" s="22">
        <f t="shared" si="6"/>
        <v>3</v>
      </c>
      <c r="AY26" s="22">
        <f t="shared" si="7"/>
        <v>5</v>
      </c>
      <c r="AZ26" s="22">
        <f t="shared" si="8"/>
        <v>31</v>
      </c>
      <c r="BA26" s="22">
        <f>Aug_Month[[#This Row],[Days]]-Aug_Month[[#This Row],[Absent]]</f>
        <v>29</v>
      </c>
      <c r="BB26" s="23">
        <v>62000</v>
      </c>
      <c r="BC26" s="23">
        <f>Aug_Month[[#This Row],[Salary]]/Aug_Month[[#This Row],[Days]]</f>
        <v>2000</v>
      </c>
      <c r="BD26" s="24">
        <f>Aug_Month[[#This Row],[PerDay Salary]]*Aug_Month[[#This Row],[Absent]]</f>
        <v>4000</v>
      </c>
      <c r="BE26" s="23">
        <f>Aug_Month[[#This Row],[Salary]]-Aug_Month[[#This Row],[Deduction]]</f>
        <v>58000</v>
      </c>
      <c r="BF26" s="22"/>
      <c r="BG26" s="53"/>
    </row>
    <row r="27" spans="1:59" ht="15.75" x14ac:dyDescent="0.25">
      <c r="A27" s="47"/>
      <c r="B27" s="47"/>
      <c r="C27" s="47"/>
      <c r="D27" s="48"/>
      <c r="F27" s="50"/>
      <c r="G27" s="3">
        <v>19</v>
      </c>
      <c r="H27" s="4">
        <v>1019</v>
      </c>
      <c r="I27" s="5" t="s">
        <v>21</v>
      </c>
      <c r="J27" s="37">
        <f t="shared" si="9"/>
        <v>5</v>
      </c>
      <c r="K27" s="38" t="s">
        <v>43</v>
      </c>
      <c r="L27" s="38" t="s">
        <v>44</v>
      </c>
      <c r="M27" s="38" t="str">
        <f t="shared" si="12"/>
        <v>WO</v>
      </c>
      <c r="N27" s="38" t="s">
        <v>43</v>
      </c>
      <c r="O27" s="38" t="s">
        <v>43</v>
      </c>
      <c r="P27" s="38" t="s">
        <v>43</v>
      </c>
      <c r="Q27" s="38" t="s">
        <v>43</v>
      </c>
      <c r="R27" s="38" t="s">
        <v>43</v>
      </c>
      <c r="S27" s="38" t="s">
        <v>42</v>
      </c>
      <c r="T27" s="38" t="str">
        <f t="shared" si="12"/>
        <v>WO</v>
      </c>
      <c r="U27" s="38" t="s">
        <v>43</v>
      </c>
      <c r="V27" s="38" t="s">
        <v>43</v>
      </c>
      <c r="W27" s="38" t="s">
        <v>43</v>
      </c>
      <c r="X27" s="38" t="s">
        <v>43</v>
      </c>
      <c r="Y27" s="38" t="s">
        <v>43</v>
      </c>
      <c r="Z27" s="38" t="s">
        <v>43</v>
      </c>
      <c r="AA27" s="38" t="str">
        <f t="shared" si="13"/>
        <v>WO</v>
      </c>
      <c r="AB27" s="38" t="s">
        <v>43</v>
      </c>
      <c r="AC27" s="38" t="s">
        <v>43</v>
      </c>
      <c r="AD27" s="38" t="s">
        <v>43</v>
      </c>
      <c r="AE27" s="38" t="s">
        <v>42</v>
      </c>
      <c r="AF27" s="38" t="s">
        <v>43</v>
      </c>
      <c r="AG27" s="38" t="s">
        <v>43</v>
      </c>
      <c r="AH27" s="38" t="str">
        <f t="shared" si="13"/>
        <v>WO</v>
      </c>
      <c r="AI27" s="38" t="s">
        <v>43</v>
      </c>
      <c r="AJ27" s="38" t="s">
        <v>43</v>
      </c>
      <c r="AK27" s="38" t="s">
        <v>43</v>
      </c>
      <c r="AL27" s="38" t="s">
        <v>42</v>
      </c>
      <c r="AM27" s="38" t="s">
        <v>43</v>
      </c>
      <c r="AN27" s="38" t="s">
        <v>43</v>
      </c>
      <c r="AO27" s="39" t="str">
        <f t="shared" si="13"/>
        <v>WO</v>
      </c>
      <c r="AP27" s="50"/>
      <c r="AQ27" s="53"/>
      <c r="AR27" s="19">
        <v>19</v>
      </c>
      <c r="AS27" s="19">
        <v>1019</v>
      </c>
      <c r="AT27" s="19" t="str">
        <f t="shared" si="3"/>
        <v>August</v>
      </c>
      <c r="AU27" s="19" t="s">
        <v>21</v>
      </c>
      <c r="AV27" s="27">
        <f t="shared" si="4"/>
        <v>22</v>
      </c>
      <c r="AW27" s="22">
        <f t="shared" si="5"/>
        <v>1</v>
      </c>
      <c r="AX27" s="22">
        <f t="shared" si="6"/>
        <v>3</v>
      </c>
      <c r="AY27" s="22">
        <f t="shared" si="7"/>
        <v>5</v>
      </c>
      <c r="AZ27" s="22">
        <f t="shared" si="8"/>
        <v>31</v>
      </c>
      <c r="BA27" s="22">
        <f>Aug_Month[[#This Row],[Days]]-Aug_Month[[#This Row],[Absent]]</f>
        <v>30</v>
      </c>
      <c r="BB27" s="23">
        <v>41000</v>
      </c>
      <c r="BC27" s="23">
        <f>Aug_Month[[#This Row],[Salary]]/Aug_Month[[#This Row],[Days]]</f>
        <v>1322.5806451612902</v>
      </c>
      <c r="BD27" s="24">
        <f>Aug_Month[[#This Row],[PerDay Salary]]*Aug_Month[[#This Row],[Absent]]</f>
        <v>1322.5806451612902</v>
      </c>
      <c r="BE27" s="23">
        <f>Aug_Month[[#This Row],[Salary]]-Aug_Month[[#This Row],[Deduction]]</f>
        <v>39677.419354838712</v>
      </c>
      <c r="BF27" s="22"/>
      <c r="BG27" s="53"/>
    </row>
    <row r="28" spans="1:59" ht="16.5" thickBot="1" x14ac:dyDescent="0.3">
      <c r="A28" s="47"/>
      <c r="B28" s="47"/>
      <c r="C28" s="47"/>
      <c r="D28" s="48"/>
      <c r="F28" s="50"/>
      <c r="G28" s="6">
        <v>20</v>
      </c>
      <c r="H28" s="7">
        <v>1020</v>
      </c>
      <c r="I28" s="8" t="s">
        <v>22</v>
      </c>
      <c r="J28" s="40">
        <f t="shared" si="9"/>
        <v>5</v>
      </c>
      <c r="K28" s="41" t="s">
        <v>44</v>
      </c>
      <c r="L28" s="41" t="s">
        <v>43</v>
      </c>
      <c r="M28" s="41" t="str">
        <f t="shared" si="12"/>
        <v>WO</v>
      </c>
      <c r="N28" s="41" t="s">
        <v>43</v>
      </c>
      <c r="O28" s="41" t="s">
        <v>43</v>
      </c>
      <c r="P28" s="41" t="s">
        <v>43</v>
      </c>
      <c r="Q28" s="41" t="s">
        <v>43</v>
      </c>
      <c r="R28" s="41" t="s">
        <v>43</v>
      </c>
      <c r="S28" s="41" t="s">
        <v>42</v>
      </c>
      <c r="T28" s="41" t="str">
        <f t="shared" si="12"/>
        <v>WO</v>
      </c>
      <c r="U28" s="41" t="s">
        <v>43</v>
      </c>
      <c r="V28" s="41" t="s">
        <v>43</v>
      </c>
      <c r="W28" s="41" t="s">
        <v>43</v>
      </c>
      <c r="X28" s="41" t="s">
        <v>43</v>
      </c>
      <c r="Y28" s="41" t="s">
        <v>43</v>
      </c>
      <c r="Z28" s="41" t="s">
        <v>43</v>
      </c>
      <c r="AA28" s="41" t="str">
        <f t="shared" si="13"/>
        <v>WO</v>
      </c>
      <c r="AB28" s="41" t="s">
        <v>43</v>
      </c>
      <c r="AC28" s="41" t="s">
        <v>43</v>
      </c>
      <c r="AD28" s="41" t="s">
        <v>43</v>
      </c>
      <c r="AE28" s="41" t="s">
        <v>42</v>
      </c>
      <c r="AF28" s="41" t="s">
        <v>43</v>
      </c>
      <c r="AG28" s="41" t="s">
        <v>43</v>
      </c>
      <c r="AH28" s="41" t="str">
        <f t="shared" si="13"/>
        <v>WO</v>
      </c>
      <c r="AI28" s="41" t="s">
        <v>43</v>
      </c>
      <c r="AJ28" s="41" t="s">
        <v>43</v>
      </c>
      <c r="AK28" s="41" t="s">
        <v>43</v>
      </c>
      <c r="AL28" s="41" t="s">
        <v>42</v>
      </c>
      <c r="AM28" s="41" t="s">
        <v>43</v>
      </c>
      <c r="AN28" s="41" t="s">
        <v>43</v>
      </c>
      <c r="AO28" s="42" t="str">
        <f t="shared" si="13"/>
        <v>WO</v>
      </c>
      <c r="AP28" s="50"/>
      <c r="AQ28" s="53"/>
      <c r="AR28" s="19">
        <v>20</v>
      </c>
      <c r="AS28" s="19">
        <v>1020</v>
      </c>
      <c r="AT28" s="19" t="str">
        <f t="shared" si="3"/>
        <v>August</v>
      </c>
      <c r="AU28" s="19" t="s">
        <v>22</v>
      </c>
      <c r="AV28" s="27">
        <f t="shared" si="4"/>
        <v>22</v>
      </c>
      <c r="AW28" s="22">
        <f t="shared" si="5"/>
        <v>1</v>
      </c>
      <c r="AX28" s="22">
        <f t="shared" si="6"/>
        <v>3</v>
      </c>
      <c r="AY28" s="22">
        <f t="shared" si="7"/>
        <v>5</v>
      </c>
      <c r="AZ28" s="22">
        <f t="shared" si="8"/>
        <v>31</v>
      </c>
      <c r="BA28" s="22">
        <f>Aug_Month[[#This Row],[Days]]-Aug_Month[[#This Row],[Absent]]</f>
        <v>30</v>
      </c>
      <c r="BB28" s="23">
        <v>30000</v>
      </c>
      <c r="BC28" s="23">
        <f>Aug_Month[[#This Row],[Salary]]/Aug_Month[[#This Row],[Days]]</f>
        <v>967.74193548387098</v>
      </c>
      <c r="BD28" s="24">
        <f>Aug_Month[[#This Row],[PerDay Salary]]*Aug_Month[[#This Row],[Absent]]</f>
        <v>967.74193548387098</v>
      </c>
      <c r="BE28" s="23">
        <f>Aug_Month[[#This Row],[Salary]]-Aug_Month[[#This Row],[Deduction]]</f>
        <v>29032.258064516129</v>
      </c>
      <c r="BF28" s="22"/>
      <c r="BG28" s="53"/>
    </row>
    <row r="29" spans="1:59" ht="15.75" thickTop="1" x14ac:dyDescent="0.25">
      <c r="A29" s="47"/>
      <c r="B29" s="47"/>
      <c r="C29" s="47"/>
      <c r="D29" s="48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</row>
    <row r="30" spans="1:59" x14ac:dyDescent="0.25">
      <c r="D30" s="48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</row>
    <row r="31" spans="1:59" x14ac:dyDescent="0.25">
      <c r="D31" s="48"/>
    </row>
    <row r="32" spans="1:59" x14ac:dyDescent="0.25">
      <c r="D32" s="48"/>
    </row>
    <row r="33" spans="4:4" x14ac:dyDescent="0.25">
      <c r="D33" s="48"/>
    </row>
    <row r="34" spans="4:4" x14ac:dyDescent="0.25">
      <c r="D34" s="48"/>
    </row>
    <row r="35" spans="4:4" x14ac:dyDescent="0.25">
      <c r="D35" s="48"/>
    </row>
    <row r="36" spans="4:4" x14ac:dyDescent="0.25">
      <c r="D36" s="48"/>
    </row>
    <row r="37" spans="4:4" x14ac:dyDescent="0.25">
      <c r="D37" s="48"/>
    </row>
    <row r="38" spans="4:4" x14ac:dyDescent="0.25">
      <c r="D38" s="48"/>
    </row>
    <row r="39" spans="4:4" x14ac:dyDescent="0.25">
      <c r="D39" s="48"/>
    </row>
    <row r="40" spans="4:4" x14ac:dyDescent="0.25">
      <c r="D40" s="48"/>
    </row>
    <row r="41" spans="4:4" x14ac:dyDescent="0.25">
      <c r="D41" s="48"/>
    </row>
    <row r="42" spans="4:4" x14ac:dyDescent="0.25">
      <c r="D42" s="48"/>
    </row>
    <row r="43" spans="4:4" x14ac:dyDescent="0.25">
      <c r="D43" s="48"/>
    </row>
    <row r="44" spans="4:4" x14ac:dyDescent="0.25">
      <c r="D44" s="48"/>
    </row>
    <row r="45" spans="4:4" x14ac:dyDescent="0.25">
      <c r="D45" s="48"/>
    </row>
    <row r="46" spans="4:4" x14ac:dyDescent="0.25">
      <c r="D46" s="48"/>
    </row>
    <row r="47" spans="4:4" x14ac:dyDescent="0.25">
      <c r="D47" s="48"/>
    </row>
    <row r="48" spans="4:4" x14ac:dyDescent="0.25">
      <c r="D48" s="48"/>
    </row>
  </sheetData>
  <mergeCells count="1">
    <mergeCell ref="G7:I7"/>
  </mergeCells>
  <conditionalFormatting sqref="K9:AO28">
    <cfRule type="containsText" dxfId="119" priority="1" operator="containsText" text="L">
      <formula>NOT(ISERROR(SEARCH("L",K9)))</formula>
    </cfRule>
    <cfRule type="containsText" dxfId="118" priority="2" operator="containsText" text="A">
      <formula>NOT(ISERROR(SEARCH("A",K9)))</formula>
    </cfRule>
    <cfRule type="containsText" dxfId="117" priority="3" operator="containsText" text="P">
      <formula>NOT(ISERROR(SEARCH("P",K9)))</formula>
    </cfRule>
    <cfRule type="containsText" dxfId="116" priority="4" operator="containsText" text="WO">
      <formula>NOT(ISERROR(SEARCH("WO",K9)))</formula>
    </cfRule>
    <cfRule type="containsText" dxfId="115" priority="5" operator="containsText" text="WO">
      <formula>NOT(ISERROR(SEARCH("WO",K9)))</formula>
    </cfRule>
  </conditionalFormatting>
  <dataValidations count="1">
    <dataValidation type="list" allowBlank="1" showInputMessage="1" showErrorMessage="1" sqref="N9:S28 K9:L28 AB9:AG28 U9:Z28 AI9:AN28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Aug!AV9:AY9</xm:f>
              <xm:sqref>BF9</xm:sqref>
            </x14:sparkline>
            <x14:sparkline>
              <xm:f>Aug!AV10:AY10</xm:f>
              <xm:sqref>BF10</xm:sqref>
            </x14:sparkline>
            <x14:sparkline>
              <xm:f>Aug!AV11:AY11</xm:f>
              <xm:sqref>BF11</xm:sqref>
            </x14:sparkline>
            <x14:sparkline>
              <xm:f>Aug!AV12:AY12</xm:f>
              <xm:sqref>BF12</xm:sqref>
            </x14:sparkline>
            <x14:sparkline>
              <xm:f>Aug!AV13:AY13</xm:f>
              <xm:sqref>BF13</xm:sqref>
            </x14:sparkline>
            <x14:sparkline>
              <xm:f>Aug!AV14:AY14</xm:f>
              <xm:sqref>BF14</xm:sqref>
            </x14:sparkline>
            <x14:sparkline>
              <xm:f>Aug!AV15:AY15</xm:f>
              <xm:sqref>BF15</xm:sqref>
            </x14:sparkline>
            <x14:sparkline>
              <xm:f>Aug!AV16:AY16</xm:f>
              <xm:sqref>BF16</xm:sqref>
            </x14:sparkline>
            <x14:sparkline>
              <xm:f>Aug!AV17:AY17</xm:f>
              <xm:sqref>BF17</xm:sqref>
            </x14:sparkline>
            <x14:sparkline>
              <xm:f>Aug!AV18:AY18</xm:f>
              <xm:sqref>BF18</xm:sqref>
            </x14:sparkline>
            <x14:sparkline>
              <xm:f>Aug!AV19:AY19</xm:f>
              <xm:sqref>BF19</xm:sqref>
            </x14:sparkline>
            <x14:sparkline>
              <xm:f>Aug!AV20:AY20</xm:f>
              <xm:sqref>BF20</xm:sqref>
            </x14:sparkline>
            <x14:sparkline>
              <xm:f>Aug!AV21:AY21</xm:f>
              <xm:sqref>BF21</xm:sqref>
            </x14:sparkline>
            <x14:sparkline>
              <xm:f>Aug!AV22:AY22</xm:f>
              <xm:sqref>BF22</xm:sqref>
            </x14:sparkline>
            <x14:sparkline>
              <xm:f>Aug!AV23:AY23</xm:f>
              <xm:sqref>BF23</xm:sqref>
            </x14:sparkline>
            <x14:sparkline>
              <xm:f>Aug!AV24:AY24</xm:f>
              <xm:sqref>BF24</xm:sqref>
            </x14:sparkline>
            <x14:sparkline>
              <xm:f>Aug!AV25:AY25</xm:f>
              <xm:sqref>BF25</xm:sqref>
            </x14:sparkline>
            <x14:sparkline>
              <xm:f>Aug!AV26:AY26</xm:f>
              <xm:sqref>BF26</xm:sqref>
            </x14:sparkline>
            <x14:sparkline>
              <xm:f>Aug!AV27:AY27</xm:f>
              <xm:sqref>BF27</xm:sqref>
            </x14:sparkline>
            <x14:sparkline>
              <xm:f>Aug!AV28:AY28</xm:f>
              <xm:sqref>BF28</xm:sqref>
            </x14:sparkline>
          </x14:sparklines>
        </x14:sparklineGroup>
      </x14:sparklineGroup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zoomScale="70" zoomScaleNormal="70" workbookViewId="0">
      <selection activeCell="J5" sqref="J5"/>
    </sheetView>
  </sheetViews>
  <sheetFormatPr defaultRowHeight="15" x14ac:dyDescent="0.25"/>
  <cols>
    <col min="1" max="3" width="9.140625" style="29"/>
    <col min="5" max="6" width="9.140625" style="29"/>
    <col min="7" max="7" width="9.140625" style="29" customWidth="1"/>
    <col min="8" max="8" width="13.140625" style="29" bestFit="1" customWidth="1"/>
    <col min="9" max="9" width="18.85546875" style="29" customWidth="1"/>
    <col min="10" max="10" width="10" style="29" bestFit="1" customWidth="1"/>
    <col min="11" max="11" width="5.7109375" style="29" customWidth="1"/>
    <col min="12" max="12" width="4.85546875" style="29" customWidth="1"/>
    <col min="13" max="13" width="5.85546875" style="29" bestFit="1" customWidth="1"/>
    <col min="14" max="14" width="4.28515625" style="29" customWidth="1"/>
    <col min="15" max="15" width="4.85546875" style="29" customWidth="1"/>
    <col min="16" max="16" width="5.5703125" style="29" customWidth="1"/>
    <col min="17" max="17" width="4.85546875" style="29" customWidth="1"/>
    <col min="18" max="18" width="5.7109375" style="29" customWidth="1"/>
    <col min="19" max="19" width="4.85546875" style="29" customWidth="1"/>
    <col min="20" max="20" width="3.7109375" style="29" customWidth="1"/>
    <col min="21" max="21" width="4.28515625" style="29" customWidth="1"/>
    <col min="22" max="22" width="4.85546875" style="29" customWidth="1"/>
    <col min="23" max="23" width="5.5703125" style="29" customWidth="1"/>
    <col min="24" max="24" width="4.85546875" style="29" customWidth="1"/>
    <col min="25" max="25" width="5.7109375" style="29" customWidth="1"/>
    <col min="26" max="26" width="4.85546875" style="29" customWidth="1"/>
    <col min="27" max="27" width="3.7109375" style="29" customWidth="1"/>
    <col min="28" max="28" width="4.28515625" style="29" customWidth="1"/>
    <col min="29" max="29" width="4.85546875" style="29" customWidth="1"/>
    <col min="30" max="30" width="5.5703125" style="29" customWidth="1"/>
    <col min="31" max="31" width="4.85546875" style="29" customWidth="1"/>
    <col min="32" max="32" width="5.7109375" style="29" customWidth="1"/>
    <col min="33" max="33" width="4.85546875" style="29" customWidth="1"/>
    <col min="34" max="34" width="5.85546875" style="29" bestFit="1" customWidth="1"/>
    <col min="35" max="35" width="4.28515625" style="29" customWidth="1"/>
    <col min="36" max="36" width="4.85546875" style="29" customWidth="1"/>
    <col min="37" max="37" width="5.5703125" style="29" customWidth="1"/>
    <col min="38" max="38" width="4.85546875" style="29" customWidth="1"/>
    <col min="39" max="39" width="5.7109375" style="29" customWidth="1"/>
    <col min="40" max="40" width="4.85546875" style="29" customWidth="1"/>
    <col min="41" max="41" width="3.7109375" style="29" customWidth="1"/>
    <col min="42" max="43" width="9.140625" style="29"/>
    <col min="44" max="44" width="7.28515625" style="29" customWidth="1"/>
    <col min="45" max="46" width="14.140625" style="29" customWidth="1"/>
    <col min="47" max="47" width="17.85546875" style="29" customWidth="1"/>
    <col min="48" max="48" width="9.85546875" style="29" customWidth="1"/>
    <col min="49" max="49" width="9.28515625" style="29" customWidth="1"/>
    <col min="50" max="50" width="9.140625" style="29"/>
    <col min="51" max="51" width="11.85546875" style="29" customWidth="1"/>
    <col min="52" max="52" width="9.140625" style="29"/>
    <col min="53" max="53" width="12" style="29" customWidth="1"/>
    <col min="54" max="54" width="12.42578125" style="29" bestFit="1" customWidth="1"/>
    <col min="55" max="55" width="15.7109375" style="29" customWidth="1"/>
    <col min="56" max="56" width="12.140625" style="29" customWidth="1"/>
    <col min="57" max="57" width="13.7109375" style="29" customWidth="1"/>
    <col min="58" max="58" width="15.5703125" style="29" bestFit="1" customWidth="1"/>
    <col min="59" max="16384" width="9.140625" style="29"/>
  </cols>
  <sheetData>
    <row r="1" spans="1:59" x14ac:dyDescent="0.25">
      <c r="A1"/>
      <c r="B1"/>
      <c r="C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25">
      <c r="A2"/>
      <c r="B2"/>
      <c r="C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25">
      <c r="A3"/>
      <c r="B3"/>
      <c r="C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25">
      <c r="A4"/>
      <c r="B4"/>
      <c r="C4"/>
      <c r="D4" s="29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/>
      <c r="B5"/>
      <c r="C5"/>
      <c r="D5" s="29"/>
      <c r="F5" s="43"/>
      <c r="G5" s="43" t="s">
        <v>27</v>
      </c>
      <c r="H5" s="44">
        <v>45901</v>
      </c>
      <c r="I5" s="43">
        <f>(DATEDIF($H$5,$L$5,"D"))+1</f>
        <v>30</v>
      </c>
      <c r="J5" s="43" t="str">
        <f>TEXT(H5,"MMMM")</f>
        <v>September</v>
      </c>
      <c r="K5" s="43" t="s">
        <v>28</v>
      </c>
      <c r="L5" s="44">
        <f>EOMONTH(H5,0)</f>
        <v>45930</v>
      </c>
      <c r="M5" s="43"/>
      <c r="BD5" s="30"/>
    </row>
    <row r="6" spans="1:59" ht="15.75" thickBot="1" x14ac:dyDescent="0.3">
      <c r="A6"/>
      <c r="B6"/>
      <c r="C6"/>
      <c r="D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16.5" thickTop="1" x14ac:dyDescent="0.25">
      <c r="A7"/>
      <c r="B7"/>
      <c r="C7"/>
      <c r="D7" s="29"/>
      <c r="F7" s="31"/>
      <c r="G7" s="56" t="s">
        <v>30</v>
      </c>
      <c r="H7" s="57"/>
      <c r="I7" s="58"/>
      <c r="J7" s="15" t="s">
        <v>29</v>
      </c>
      <c r="K7" s="16" t="str">
        <f>TEXT(K8,"DDD")</f>
        <v>Mon</v>
      </c>
      <c r="L7" s="16" t="str">
        <f t="shared" ref="L7:AO7" si="0">TEXT(L8,"DDD")</f>
        <v>Tue</v>
      </c>
      <c r="M7" s="16" t="str">
        <f t="shared" si="0"/>
        <v>Wed</v>
      </c>
      <c r="N7" s="16" t="str">
        <f t="shared" si="0"/>
        <v>Thu</v>
      </c>
      <c r="O7" s="16" t="str">
        <f t="shared" si="0"/>
        <v>Fri</v>
      </c>
      <c r="P7" s="16" t="str">
        <f t="shared" si="0"/>
        <v>Sat</v>
      </c>
      <c r="Q7" s="16" t="str">
        <f t="shared" si="0"/>
        <v>Sun</v>
      </c>
      <c r="R7" s="16" t="str">
        <f t="shared" si="0"/>
        <v>Mon</v>
      </c>
      <c r="S7" s="16" t="str">
        <f t="shared" si="0"/>
        <v>Tue</v>
      </c>
      <c r="T7" s="16" t="str">
        <f t="shared" si="0"/>
        <v>Wed</v>
      </c>
      <c r="U7" s="16" t="str">
        <f t="shared" si="0"/>
        <v>Thu</v>
      </c>
      <c r="V7" s="16" t="str">
        <f t="shared" si="0"/>
        <v>Fri</v>
      </c>
      <c r="W7" s="16" t="str">
        <f t="shared" si="0"/>
        <v>Sat</v>
      </c>
      <c r="X7" s="16" t="str">
        <f t="shared" si="0"/>
        <v>Sun</v>
      </c>
      <c r="Y7" s="16" t="str">
        <f t="shared" si="0"/>
        <v>Mon</v>
      </c>
      <c r="Z7" s="16" t="str">
        <f t="shared" si="0"/>
        <v>Tue</v>
      </c>
      <c r="AA7" s="16" t="str">
        <f t="shared" si="0"/>
        <v>Wed</v>
      </c>
      <c r="AB7" s="16" t="str">
        <f t="shared" si="0"/>
        <v>Thu</v>
      </c>
      <c r="AC7" s="16" t="str">
        <f t="shared" si="0"/>
        <v>Fri</v>
      </c>
      <c r="AD7" s="16" t="str">
        <f t="shared" si="0"/>
        <v>Sat</v>
      </c>
      <c r="AE7" s="16" t="str">
        <f t="shared" si="0"/>
        <v>Sun</v>
      </c>
      <c r="AF7" s="16" t="str">
        <f t="shared" si="0"/>
        <v>Mon</v>
      </c>
      <c r="AG7" s="16" t="str">
        <f t="shared" si="0"/>
        <v>Tue</v>
      </c>
      <c r="AH7" s="16" t="str">
        <f t="shared" si="0"/>
        <v>Wed</v>
      </c>
      <c r="AI7" s="16" t="str">
        <f t="shared" si="0"/>
        <v>Thu</v>
      </c>
      <c r="AJ7" s="16" t="str">
        <f t="shared" si="0"/>
        <v>Fri</v>
      </c>
      <c r="AK7" s="16" t="str">
        <f t="shared" si="0"/>
        <v>Sat</v>
      </c>
      <c r="AL7" s="16" t="str">
        <f t="shared" si="0"/>
        <v>Sun</v>
      </c>
      <c r="AM7" s="16" t="str">
        <f t="shared" si="0"/>
        <v>Mon</v>
      </c>
      <c r="AN7" s="16" t="str">
        <f t="shared" si="0"/>
        <v>Tue</v>
      </c>
      <c r="AO7" s="17" t="str">
        <f t="shared" si="0"/>
        <v/>
      </c>
      <c r="AP7" s="31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/>
      <c r="B8"/>
      <c r="C8"/>
      <c r="D8" s="29"/>
      <c r="F8" s="31"/>
      <c r="G8" s="9" t="s">
        <v>23</v>
      </c>
      <c r="H8" s="10" t="s">
        <v>24</v>
      </c>
      <c r="I8" s="11" t="s">
        <v>25</v>
      </c>
      <c r="J8" s="12" t="s">
        <v>26</v>
      </c>
      <c r="K8" s="13">
        <f>H5</f>
        <v>45901</v>
      </c>
      <c r="L8" s="13">
        <f>IF(K8&lt;$L$5,K8+1,"")</f>
        <v>45902</v>
      </c>
      <c r="M8" s="13">
        <f t="shared" ref="M8:AO8" si="1">IF(L8&lt;$L$5,L8+1,"")</f>
        <v>45903</v>
      </c>
      <c r="N8" s="13">
        <f t="shared" si="1"/>
        <v>45904</v>
      </c>
      <c r="O8" s="13">
        <f t="shared" si="1"/>
        <v>45905</v>
      </c>
      <c r="P8" s="13">
        <f t="shared" si="1"/>
        <v>45906</v>
      </c>
      <c r="Q8" s="13">
        <f t="shared" si="1"/>
        <v>45907</v>
      </c>
      <c r="R8" s="13">
        <f t="shared" si="1"/>
        <v>45908</v>
      </c>
      <c r="S8" s="13">
        <f t="shared" si="1"/>
        <v>45909</v>
      </c>
      <c r="T8" s="13">
        <f t="shared" si="1"/>
        <v>45910</v>
      </c>
      <c r="U8" s="13">
        <f t="shared" si="1"/>
        <v>45911</v>
      </c>
      <c r="V8" s="13">
        <f t="shared" si="1"/>
        <v>45912</v>
      </c>
      <c r="W8" s="13">
        <f t="shared" si="1"/>
        <v>45913</v>
      </c>
      <c r="X8" s="13">
        <f t="shared" si="1"/>
        <v>45914</v>
      </c>
      <c r="Y8" s="13">
        <f t="shared" si="1"/>
        <v>45915</v>
      </c>
      <c r="Z8" s="13">
        <f t="shared" si="1"/>
        <v>45916</v>
      </c>
      <c r="AA8" s="13">
        <f t="shared" si="1"/>
        <v>45917</v>
      </c>
      <c r="AB8" s="13">
        <f t="shared" si="1"/>
        <v>45918</v>
      </c>
      <c r="AC8" s="13">
        <f t="shared" si="1"/>
        <v>45919</v>
      </c>
      <c r="AD8" s="13">
        <f t="shared" si="1"/>
        <v>45920</v>
      </c>
      <c r="AE8" s="13">
        <f t="shared" si="1"/>
        <v>45921</v>
      </c>
      <c r="AF8" s="13">
        <f t="shared" si="1"/>
        <v>45922</v>
      </c>
      <c r="AG8" s="13">
        <f t="shared" si="1"/>
        <v>45923</v>
      </c>
      <c r="AH8" s="13">
        <f t="shared" si="1"/>
        <v>45924</v>
      </c>
      <c r="AI8" s="13">
        <f t="shared" si="1"/>
        <v>45925</v>
      </c>
      <c r="AJ8" s="13">
        <f t="shared" si="1"/>
        <v>45926</v>
      </c>
      <c r="AK8" s="13">
        <f t="shared" si="1"/>
        <v>45927</v>
      </c>
      <c r="AL8" s="13">
        <f t="shared" si="1"/>
        <v>45928</v>
      </c>
      <c r="AM8" s="13">
        <f t="shared" si="1"/>
        <v>45929</v>
      </c>
      <c r="AN8" s="13">
        <f t="shared" si="1"/>
        <v>45930</v>
      </c>
      <c r="AO8" s="14" t="str">
        <f t="shared" si="1"/>
        <v/>
      </c>
      <c r="AP8" s="32"/>
      <c r="AQ8" s="35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36"/>
    </row>
    <row r="9" spans="1:59" ht="16.5" thickTop="1" x14ac:dyDescent="0.25">
      <c r="A9"/>
      <c r="B9"/>
      <c r="C9"/>
      <c r="D9" s="29"/>
      <c r="F9" s="31"/>
      <c r="G9" s="3">
        <v>1</v>
      </c>
      <c r="H9" s="4">
        <v>1001</v>
      </c>
      <c r="I9" s="5" t="s">
        <v>3</v>
      </c>
      <c r="J9" s="37">
        <f>COUNTIF($K$7:$AO$7,"Sun")</f>
        <v>4</v>
      </c>
      <c r="K9" s="38" t="s">
        <v>43</v>
      </c>
      <c r="L9" s="38" t="s">
        <v>43</v>
      </c>
      <c r="M9" s="38" t="s">
        <v>43</v>
      </c>
      <c r="N9" s="38" t="s">
        <v>42</v>
      </c>
      <c r="O9" s="38" t="s">
        <v>43</v>
      </c>
      <c r="P9" s="38" t="s">
        <v>43</v>
      </c>
      <c r="Q9" s="38" t="str">
        <f t="shared" ref="Q9:AL17" si="2">IF(Q$7="Sun","WO","")</f>
        <v>WO</v>
      </c>
      <c r="R9" s="38" t="s">
        <v>43</v>
      </c>
      <c r="S9" s="38" t="s">
        <v>43</v>
      </c>
      <c r="T9" s="38" t="s">
        <v>43</v>
      </c>
      <c r="U9" s="38" t="s">
        <v>43</v>
      </c>
      <c r="V9" s="38" t="s">
        <v>43</v>
      </c>
      <c r="W9" s="38" t="s">
        <v>43</v>
      </c>
      <c r="X9" s="38" t="str">
        <f t="shared" si="2"/>
        <v>WO</v>
      </c>
      <c r="Y9" s="38" t="s">
        <v>43</v>
      </c>
      <c r="Z9" s="38" t="s">
        <v>43</v>
      </c>
      <c r="AA9" s="38" t="s">
        <v>43</v>
      </c>
      <c r="AB9" s="38" t="s">
        <v>43</v>
      </c>
      <c r="AC9" s="38" t="s">
        <v>43</v>
      </c>
      <c r="AD9" s="38" t="s">
        <v>43</v>
      </c>
      <c r="AE9" s="38" t="str">
        <f t="shared" si="2"/>
        <v>WO</v>
      </c>
      <c r="AF9" s="38" t="s">
        <v>43</v>
      </c>
      <c r="AG9" s="38" t="s">
        <v>43</v>
      </c>
      <c r="AH9" s="38" t="s">
        <v>42</v>
      </c>
      <c r="AI9" s="38" t="s">
        <v>44</v>
      </c>
      <c r="AJ9" s="38" t="s">
        <v>43</v>
      </c>
      <c r="AK9" s="38" t="s">
        <v>43</v>
      </c>
      <c r="AL9" s="38" t="str">
        <f t="shared" si="2"/>
        <v>WO</v>
      </c>
      <c r="AM9" s="38" t="s">
        <v>43</v>
      </c>
      <c r="AN9" s="38" t="s">
        <v>43</v>
      </c>
      <c r="AO9" s="39"/>
      <c r="AP9" s="31"/>
      <c r="AQ9" s="36"/>
      <c r="AR9" s="19">
        <v>1</v>
      </c>
      <c r="AS9" s="19">
        <v>1001</v>
      </c>
      <c r="AT9" s="19" t="str">
        <f t="shared" ref="AT9:AT28" si="3">$J$5</f>
        <v>September</v>
      </c>
      <c r="AU9" s="19" t="s">
        <v>3</v>
      </c>
      <c r="AV9" s="26">
        <f t="shared" ref="AV9:AV28" si="4">COUNTIF($K9:$AO9,"*P*")</f>
        <v>23</v>
      </c>
      <c r="AW9" s="20">
        <f t="shared" ref="AW9:AW28" si="5">COUNTIF($K9:$AO9,"*A*")</f>
        <v>1</v>
      </c>
      <c r="AX9" s="20">
        <f t="shared" ref="AX9:AX28" si="6">COUNTIF($K9:$AO9,"L")</f>
        <v>2</v>
      </c>
      <c r="AY9" s="20">
        <f t="shared" ref="AY9:AY28" si="7">$J$9</f>
        <v>4</v>
      </c>
      <c r="AZ9" s="20">
        <f t="shared" ref="AZ9:AZ28" si="8">$I$5</f>
        <v>30</v>
      </c>
      <c r="BA9" s="20">
        <f>Sep_Month[[#This Row],[Days]]-Sep_Month[[#This Row],[Absent]]</f>
        <v>29</v>
      </c>
      <c r="BB9" s="21">
        <v>10000</v>
      </c>
      <c r="BC9" s="21">
        <f>Sep_Month[[#This Row],[Salary]]/Sep_Month[[#This Row],[Days]]</f>
        <v>333.33333333333331</v>
      </c>
      <c r="BD9" s="24">
        <f>Sep_Month[[#This Row],[PerDay Salary]]*Sep_Month[[#This Row],[Absent]]</f>
        <v>333.33333333333331</v>
      </c>
      <c r="BE9" s="23">
        <f>Sep_Month[[#This Row],[Salary]]-Sep_Month[[#This Row],[Deduction]]</f>
        <v>9666.6666666666661</v>
      </c>
      <c r="BF9" s="22"/>
      <c r="BG9" s="36"/>
    </row>
    <row r="10" spans="1:59" ht="15.75" x14ac:dyDescent="0.25">
      <c r="A10"/>
      <c r="B10"/>
      <c r="C10"/>
      <c r="D10" s="29"/>
      <c r="F10" s="31"/>
      <c r="G10" s="3">
        <v>2</v>
      </c>
      <c r="H10" s="4">
        <v>1002</v>
      </c>
      <c r="I10" s="5" t="s">
        <v>4</v>
      </c>
      <c r="J10" s="37">
        <f t="shared" ref="J10:J28" si="9">COUNTIF($K$7:$AO$7,"Sun")</f>
        <v>4</v>
      </c>
      <c r="K10" s="38" t="s">
        <v>43</v>
      </c>
      <c r="L10" s="38" t="s">
        <v>43</v>
      </c>
      <c r="M10" s="38" t="s">
        <v>43</v>
      </c>
      <c r="N10" s="38" t="s">
        <v>42</v>
      </c>
      <c r="O10" s="38" t="s">
        <v>43</v>
      </c>
      <c r="P10" s="38" t="s">
        <v>43</v>
      </c>
      <c r="Q10" s="38" t="str">
        <f t="shared" si="2"/>
        <v>WO</v>
      </c>
      <c r="R10" s="38" t="s">
        <v>43</v>
      </c>
      <c r="S10" s="38" t="s">
        <v>43</v>
      </c>
      <c r="T10" s="38" t="s">
        <v>43</v>
      </c>
      <c r="U10" s="38" t="s">
        <v>43</v>
      </c>
      <c r="V10" s="38" t="s">
        <v>43</v>
      </c>
      <c r="W10" s="38" t="s">
        <v>43</v>
      </c>
      <c r="X10" s="38" t="str">
        <f t="shared" si="2"/>
        <v>WO</v>
      </c>
      <c r="Y10" s="38" t="s">
        <v>43</v>
      </c>
      <c r="Z10" s="38" t="s">
        <v>43</v>
      </c>
      <c r="AA10" s="38" t="s">
        <v>43</v>
      </c>
      <c r="AB10" s="38" t="s">
        <v>43</v>
      </c>
      <c r="AC10" s="38" t="s">
        <v>43</v>
      </c>
      <c r="AD10" s="38" t="s">
        <v>43</v>
      </c>
      <c r="AE10" s="38" t="str">
        <f t="shared" si="2"/>
        <v>WO</v>
      </c>
      <c r="AF10" s="38" t="s">
        <v>43</v>
      </c>
      <c r="AG10" s="38" t="s">
        <v>44</v>
      </c>
      <c r="AH10" s="38" t="s">
        <v>42</v>
      </c>
      <c r="AI10" s="38" t="s">
        <v>43</v>
      </c>
      <c r="AJ10" s="38" t="s">
        <v>43</v>
      </c>
      <c r="AK10" s="38" t="s">
        <v>43</v>
      </c>
      <c r="AL10" s="38" t="str">
        <f t="shared" si="2"/>
        <v>WO</v>
      </c>
      <c r="AM10" s="38" t="s">
        <v>43</v>
      </c>
      <c r="AN10" s="38" t="s">
        <v>43</v>
      </c>
      <c r="AO10" s="39"/>
      <c r="AP10" s="31"/>
      <c r="AQ10" s="36"/>
      <c r="AR10" s="19">
        <v>2</v>
      </c>
      <c r="AS10" s="19">
        <v>1002</v>
      </c>
      <c r="AT10" s="19" t="str">
        <f t="shared" si="3"/>
        <v>September</v>
      </c>
      <c r="AU10" s="19" t="s">
        <v>4</v>
      </c>
      <c r="AV10" s="27">
        <f t="shared" si="4"/>
        <v>23</v>
      </c>
      <c r="AW10" s="22">
        <f t="shared" si="5"/>
        <v>1</v>
      </c>
      <c r="AX10" s="22">
        <f t="shared" si="6"/>
        <v>2</v>
      </c>
      <c r="AY10" s="22">
        <f t="shared" si="7"/>
        <v>4</v>
      </c>
      <c r="AZ10" s="22">
        <f t="shared" si="8"/>
        <v>30</v>
      </c>
      <c r="BA10" s="22">
        <f>Sep_Month[[#This Row],[Days]]-Sep_Month[[#This Row],[Absent]]</f>
        <v>29</v>
      </c>
      <c r="BB10" s="23">
        <v>20000</v>
      </c>
      <c r="BC10" s="23">
        <f>Sep_Month[[#This Row],[Salary]]/Sep_Month[[#This Row],[Days]]</f>
        <v>666.66666666666663</v>
      </c>
      <c r="BD10" s="24">
        <f>Sep_Month[[#This Row],[PerDay Salary]]*Sep_Month[[#This Row],[Absent]]</f>
        <v>666.66666666666663</v>
      </c>
      <c r="BE10" s="23">
        <f>Sep_Month[[#This Row],[Salary]]-Sep_Month[[#This Row],[Deduction]]</f>
        <v>19333.333333333332</v>
      </c>
      <c r="BF10" s="22"/>
      <c r="BG10" s="36"/>
    </row>
    <row r="11" spans="1:59" ht="15.75" x14ac:dyDescent="0.25">
      <c r="A11"/>
      <c r="B11"/>
      <c r="C11"/>
      <c r="D11" s="29"/>
      <c r="F11" s="31"/>
      <c r="G11" s="3">
        <v>3</v>
      </c>
      <c r="H11" s="4">
        <v>1003</v>
      </c>
      <c r="I11" s="5" t="s">
        <v>5</v>
      </c>
      <c r="J11" s="37">
        <f t="shared" si="9"/>
        <v>4</v>
      </c>
      <c r="K11" s="38" t="s">
        <v>43</v>
      </c>
      <c r="L11" s="38" t="s">
        <v>43</v>
      </c>
      <c r="M11" s="38" t="s">
        <v>43</v>
      </c>
      <c r="N11" s="38" t="s">
        <v>42</v>
      </c>
      <c r="O11" s="38" t="s">
        <v>43</v>
      </c>
      <c r="P11" s="38" t="s">
        <v>43</v>
      </c>
      <c r="Q11" s="38" t="str">
        <f t="shared" si="2"/>
        <v>WO</v>
      </c>
      <c r="R11" s="38" t="s">
        <v>43</v>
      </c>
      <c r="S11" s="38" t="s">
        <v>43</v>
      </c>
      <c r="T11" s="38" t="s">
        <v>43</v>
      </c>
      <c r="U11" s="38" t="s">
        <v>43</v>
      </c>
      <c r="V11" s="38" t="s">
        <v>43</v>
      </c>
      <c r="W11" s="38" t="s">
        <v>43</v>
      </c>
      <c r="X11" s="38" t="str">
        <f t="shared" si="2"/>
        <v>WO</v>
      </c>
      <c r="Y11" s="38" t="s">
        <v>43</v>
      </c>
      <c r="Z11" s="38" t="s">
        <v>43</v>
      </c>
      <c r="AA11" s="38" t="s">
        <v>43</v>
      </c>
      <c r="AB11" s="38" t="s">
        <v>43</v>
      </c>
      <c r="AC11" s="38" t="s">
        <v>43</v>
      </c>
      <c r="AD11" s="38" t="s">
        <v>43</v>
      </c>
      <c r="AE11" s="38" t="str">
        <f t="shared" si="2"/>
        <v>WO</v>
      </c>
      <c r="AF11" s="38" t="s">
        <v>44</v>
      </c>
      <c r="AG11" s="38" t="s">
        <v>43</v>
      </c>
      <c r="AH11" s="38" t="s">
        <v>42</v>
      </c>
      <c r="AI11" s="38" t="s">
        <v>43</v>
      </c>
      <c r="AJ11" s="38" t="s">
        <v>44</v>
      </c>
      <c r="AK11" s="38" t="s">
        <v>43</v>
      </c>
      <c r="AL11" s="38" t="str">
        <f t="shared" si="2"/>
        <v>WO</v>
      </c>
      <c r="AM11" s="38" t="s">
        <v>43</v>
      </c>
      <c r="AN11" s="38" t="s">
        <v>43</v>
      </c>
      <c r="AO11" s="39"/>
      <c r="AP11" s="31"/>
      <c r="AQ11" s="36"/>
      <c r="AR11" s="19">
        <v>3</v>
      </c>
      <c r="AS11" s="19">
        <v>1003</v>
      </c>
      <c r="AT11" s="19" t="str">
        <f t="shared" si="3"/>
        <v>September</v>
      </c>
      <c r="AU11" s="19" t="s">
        <v>5</v>
      </c>
      <c r="AV11" s="27">
        <f t="shared" si="4"/>
        <v>22</v>
      </c>
      <c r="AW11" s="22">
        <f t="shared" si="5"/>
        <v>2</v>
      </c>
      <c r="AX11" s="22">
        <f t="shared" si="6"/>
        <v>2</v>
      </c>
      <c r="AY11" s="22">
        <f t="shared" si="7"/>
        <v>4</v>
      </c>
      <c r="AZ11" s="22">
        <f t="shared" si="8"/>
        <v>30</v>
      </c>
      <c r="BA11" s="22">
        <f>Sep_Month[[#This Row],[Days]]-Sep_Month[[#This Row],[Absent]]</f>
        <v>28</v>
      </c>
      <c r="BB11" s="23">
        <v>25000</v>
      </c>
      <c r="BC11" s="23">
        <f>Sep_Month[[#This Row],[Salary]]/Sep_Month[[#This Row],[Days]]</f>
        <v>833.33333333333337</v>
      </c>
      <c r="BD11" s="24">
        <f>Sep_Month[[#This Row],[PerDay Salary]]*Sep_Month[[#This Row],[Absent]]</f>
        <v>1666.6666666666667</v>
      </c>
      <c r="BE11" s="23">
        <f>Sep_Month[[#This Row],[Salary]]-Sep_Month[[#This Row],[Deduction]]</f>
        <v>23333.333333333332</v>
      </c>
      <c r="BF11" s="22"/>
      <c r="BG11" s="36"/>
    </row>
    <row r="12" spans="1:59" ht="15.75" x14ac:dyDescent="0.25">
      <c r="A12"/>
      <c r="B12"/>
      <c r="C12"/>
      <c r="D12" s="29"/>
      <c r="F12" s="31"/>
      <c r="G12" s="3">
        <v>4</v>
      </c>
      <c r="H12" s="4">
        <v>1004</v>
      </c>
      <c r="I12" s="5" t="s">
        <v>6</v>
      </c>
      <c r="J12" s="37">
        <f t="shared" si="9"/>
        <v>4</v>
      </c>
      <c r="K12" s="38" t="s">
        <v>43</v>
      </c>
      <c r="L12" s="38" t="s">
        <v>43</v>
      </c>
      <c r="M12" s="38" t="s">
        <v>43</v>
      </c>
      <c r="N12" s="38" t="s">
        <v>42</v>
      </c>
      <c r="O12" s="38" t="s">
        <v>43</v>
      </c>
      <c r="P12" s="38" t="s">
        <v>43</v>
      </c>
      <c r="Q12" s="38" t="str">
        <f t="shared" si="2"/>
        <v>WO</v>
      </c>
      <c r="R12" s="38" t="s">
        <v>43</v>
      </c>
      <c r="S12" s="38" t="s">
        <v>43</v>
      </c>
      <c r="T12" s="38" t="s">
        <v>43</v>
      </c>
      <c r="U12" s="38" t="s">
        <v>43</v>
      </c>
      <c r="V12" s="38" t="s">
        <v>43</v>
      </c>
      <c r="W12" s="38" t="s">
        <v>43</v>
      </c>
      <c r="X12" s="38" t="str">
        <f t="shared" si="2"/>
        <v>WO</v>
      </c>
      <c r="Y12" s="38" t="s">
        <v>43</v>
      </c>
      <c r="Z12" s="38" t="s">
        <v>43</v>
      </c>
      <c r="AA12" s="38" t="s">
        <v>43</v>
      </c>
      <c r="AB12" s="38" t="s">
        <v>43</v>
      </c>
      <c r="AC12" s="38" t="s">
        <v>43</v>
      </c>
      <c r="AD12" s="38" t="s">
        <v>44</v>
      </c>
      <c r="AE12" s="38" t="str">
        <f t="shared" si="2"/>
        <v>WO</v>
      </c>
      <c r="AF12" s="38" t="s">
        <v>43</v>
      </c>
      <c r="AG12" s="38" t="s">
        <v>43</v>
      </c>
      <c r="AH12" s="38" t="s">
        <v>42</v>
      </c>
      <c r="AI12" s="38" t="s">
        <v>43</v>
      </c>
      <c r="AJ12" s="38" t="s">
        <v>43</v>
      </c>
      <c r="AK12" s="38" t="s">
        <v>43</v>
      </c>
      <c r="AL12" s="38" t="str">
        <f t="shared" si="2"/>
        <v>WO</v>
      </c>
      <c r="AM12" s="38" t="s">
        <v>43</v>
      </c>
      <c r="AN12" s="38" t="s">
        <v>43</v>
      </c>
      <c r="AO12" s="39"/>
      <c r="AP12" s="31"/>
      <c r="AQ12" s="36"/>
      <c r="AR12" s="19">
        <v>4</v>
      </c>
      <c r="AS12" s="19">
        <v>1004</v>
      </c>
      <c r="AT12" s="19" t="str">
        <f t="shared" si="3"/>
        <v>September</v>
      </c>
      <c r="AU12" s="19" t="s">
        <v>6</v>
      </c>
      <c r="AV12" s="27">
        <f t="shared" si="4"/>
        <v>23</v>
      </c>
      <c r="AW12" s="22">
        <f t="shared" si="5"/>
        <v>1</v>
      </c>
      <c r="AX12" s="22">
        <f t="shared" si="6"/>
        <v>2</v>
      </c>
      <c r="AY12" s="22">
        <f t="shared" si="7"/>
        <v>4</v>
      </c>
      <c r="AZ12" s="22">
        <f t="shared" si="8"/>
        <v>30</v>
      </c>
      <c r="BA12" s="22">
        <f>Sep_Month[[#This Row],[Days]]-Sep_Month[[#This Row],[Absent]]</f>
        <v>29</v>
      </c>
      <c r="BB12" s="23">
        <v>30000</v>
      </c>
      <c r="BC12" s="23">
        <f>Sep_Month[[#This Row],[Salary]]/Sep_Month[[#This Row],[Days]]</f>
        <v>1000</v>
      </c>
      <c r="BD12" s="24">
        <f>Sep_Month[[#This Row],[PerDay Salary]]*Sep_Month[[#This Row],[Absent]]</f>
        <v>1000</v>
      </c>
      <c r="BE12" s="23">
        <f>Sep_Month[[#This Row],[Salary]]-Sep_Month[[#This Row],[Deduction]]</f>
        <v>29000</v>
      </c>
      <c r="BF12" s="22"/>
      <c r="BG12" s="36"/>
    </row>
    <row r="13" spans="1:59" ht="15.75" x14ac:dyDescent="0.25">
      <c r="A13"/>
      <c r="B13"/>
      <c r="C13"/>
      <c r="D13" s="29"/>
      <c r="F13" s="31"/>
      <c r="G13" s="3">
        <v>5</v>
      </c>
      <c r="H13" s="4">
        <v>1005</v>
      </c>
      <c r="I13" s="5" t="s">
        <v>7</v>
      </c>
      <c r="J13" s="37">
        <f t="shared" si="9"/>
        <v>4</v>
      </c>
      <c r="K13" s="38" t="s">
        <v>43</v>
      </c>
      <c r="L13" s="38" t="s">
        <v>43</v>
      </c>
      <c r="M13" s="38" t="s">
        <v>43</v>
      </c>
      <c r="N13" s="38" t="s">
        <v>42</v>
      </c>
      <c r="O13" s="38" t="s">
        <v>43</v>
      </c>
      <c r="P13" s="38" t="s">
        <v>43</v>
      </c>
      <c r="Q13" s="38" t="str">
        <f t="shared" si="2"/>
        <v>WO</v>
      </c>
      <c r="R13" s="38" t="s">
        <v>43</v>
      </c>
      <c r="S13" s="38" t="s">
        <v>43</v>
      </c>
      <c r="T13" s="38" t="s">
        <v>44</v>
      </c>
      <c r="U13" s="38" t="s">
        <v>43</v>
      </c>
      <c r="V13" s="38" t="s">
        <v>43</v>
      </c>
      <c r="W13" s="38" t="s">
        <v>43</v>
      </c>
      <c r="X13" s="38" t="str">
        <f t="shared" si="2"/>
        <v>WO</v>
      </c>
      <c r="Y13" s="38" t="s">
        <v>43</v>
      </c>
      <c r="Z13" s="38" t="s">
        <v>43</v>
      </c>
      <c r="AA13" s="38" t="s">
        <v>43</v>
      </c>
      <c r="AB13" s="38" t="s">
        <v>43</v>
      </c>
      <c r="AC13" s="38" t="s">
        <v>44</v>
      </c>
      <c r="AD13" s="38" t="s">
        <v>43</v>
      </c>
      <c r="AE13" s="38" t="str">
        <f t="shared" si="2"/>
        <v>WO</v>
      </c>
      <c r="AF13" s="38" t="s">
        <v>43</v>
      </c>
      <c r="AG13" s="38" t="s">
        <v>43</v>
      </c>
      <c r="AH13" s="38" t="s">
        <v>42</v>
      </c>
      <c r="AI13" s="38" t="s">
        <v>43</v>
      </c>
      <c r="AJ13" s="38" t="s">
        <v>43</v>
      </c>
      <c r="AK13" s="38" t="s">
        <v>43</v>
      </c>
      <c r="AL13" s="38" t="str">
        <f t="shared" si="2"/>
        <v>WO</v>
      </c>
      <c r="AM13" s="38" t="s">
        <v>43</v>
      </c>
      <c r="AN13" s="38" t="s">
        <v>43</v>
      </c>
      <c r="AO13" s="39"/>
      <c r="AP13" s="31"/>
      <c r="AQ13" s="36"/>
      <c r="AR13" s="19">
        <v>5</v>
      </c>
      <c r="AS13" s="19">
        <v>1005</v>
      </c>
      <c r="AT13" s="19" t="str">
        <f t="shared" si="3"/>
        <v>September</v>
      </c>
      <c r="AU13" s="19" t="s">
        <v>7</v>
      </c>
      <c r="AV13" s="27">
        <f t="shared" si="4"/>
        <v>22</v>
      </c>
      <c r="AW13" s="22">
        <f t="shared" si="5"/>
        <v>2</v>
      </c>
      <c r="AX13" s="22">
        <f t="shared" si="6"/>
        <v>2</v>
      </c>
      <c r="AY13" s="22">
        <f t="shared" si="7"/>
        <v>4</v>
      </c>
      <c r="AZ13" s="22">
        <f t="shared" si="8"/>
        <v>30</v>
      </c>
      <c r="BA13" s="22">
        <f>Sep_Month[[#This Row],[Days]]-Sep_Month[[#This Row],[Absent]]</f>
        <v>28</v>
      </c>
      <c r="BB13" s="23">
        <v>45000</v>
      </c>
      <c r="BC13" s="23">
        <f>Sep_Month[[#This Row],[Salary]]/Sep_Month[[#This Row],[Days]]</f>
        <v>1500</v>
      </c>
      <c r="BD13" s="24">
        <f>Sep_Month[[#This Row],[PerDay Salary]]*Sep_Month[[#This Row],[Absent]]</f>
        <v>3000</v>
      </c>
      <c r="BE13" s="23">
        <f>Sep_Month[[#This Row],[Salary]]-Sep_Month[[#This Row],[Deduction]]</f>
        <v>42000</v>
      </c>
      <c r="BF13" s="22"/>
      <c r="BG13" s="36"/>
    </row>
    <row r="14" spans="1:59" ht="15.75" x14ac:dyDescent="0.25">
      <c r="A14"/>
      <c r="B14"/>
      <c r="C14"/>
      <c r="D14" s="29"/>
      <c r="F14" s="31"/>
      <c r="G14" s="3">
        <v>6</v>
      </c>
      <c r="H14" s="4">
        <v>1006</v>
      </c>
      <c r="I14" s="5" t="s">
        <v>8</v>
      </c>
      <c r="J14" s="37">
        <f t="shared" si="9"/>
        <v>4</v>
      </c>
      <c r="K14" s="38" t="s">
        <v>43</v>
      </c>
      <c r="L14" s="38" t="s">
        <v>43</v>
      </c>
      <c r="M14" s="38" t="s">
        <v>43</v>
      </c>
      <c r="N14" s="38" t="s">
        <v>42</v>
      </c>
      <c r="O14" s="38" t="s">
        <v>43</v>
      </c>
      <c r="P14" s="38" t="s">
        <v>43</v>
      </c>
      <c r="Q14" s="38" t="str">
        <f t="shared" si="2"/>
        <v>WO</v>
      </c>
      <c r="R14" s="38" t="s">
        <v>43</v>
      </c>
      <c r="S14" s="38" t="s">
        <v>43</v>
      </c>
      <c r="T14" s="38" t="s">
        <v>43</v>
      </c>
      <c r="U14" s="38" t="s">
        <v>43</v>
      </c>
      <c r="V14" s="38" t="s">
        <v>43</v>
      </c>
      <c r="W14" s="38" t="s">
        <v>43</v>
      </c>
      <c r="X14" s="38" t="str">
        <f t="shared" si="2"/>
        <v>WO</v>
      </c>
      <c r="Y14" s="38" t="s">
        <v>43</v>
      </c>
      <c r="Z14" s="38" t="s">
        <v>43</v>
      </c>
      <c r="AA14" s="38" t="s">
        <v>43</v>
      </c>
      <c r="AB14" s="38" t="s">
        <v>44</v>
      </c>
      <c r="AC14" s="38" t="s">
        <v>43</v>
      </c>
      <c r="AD14" s="38" t="s">
        <v>43</v>
      </c>
      <c r="AE14" s="38" t="str">
        <f t="shared" si="2"/>
        <v>WO</v>
      </c>
      <c r="AF14" s="38" t="s">
        <v>43</v>
      </c>
      <c r="AG14" s="38" t="s">
        <v>43</v>
      </c>
      <c r="AH14" s="38" t="s">
        <v>42</v>
      </c>
      <c r="AI14" s="38" t="s">
        <v>43</v>
      </c>
      <c r="AJ14" s="38" t="s">
        <v>43</v>
      </c>
      <c r="AK14" s="38" t="s">
        <v>44</v>
      </c>
      <c r="AL14" s="38" t="str">
        <f t="shared" si="2"/>
        <v>WO</v>
      </c>
      <c r="AM14" s="38" t="s">
        <v>43</v>
      </c>
      <c r="AN14" s="38" t="s">
        <v>43</v>
      </c>
      <c r="AO14" s="39"/>
      <c r="AP14" s="31"/>
      <c r="AQ14" s="36"/>
      <c r="AR14" s="19">
        <v>6</v>
      </c>
      <c r="AS14" s="19">
        <v>1006</v>
      </c>
      <c r="AT14" s="19" t="str">
        <f t="shared" si="3"/>
        <v>September</v>
      </c>
      <c r="AU14" s="19" t="s">
        <v>8</v>
      </c>
      <c r="AV14" s="27">
        <f t="shared" si="4"/>
        <v>22</v>
      </c>
      <c r="AW14" s="22">
        <f t="shared" si="5"/>
        <v>2</v>
      </c>
      <c r="AX14" s="22">
        <f t="shared" si="6"/>
        <v>2</v>
      </c>
      <c r="AY14" s="22">
        <f t="shared" si="7"/>
        <v>4</v>
      </c>
      <c r="AZ14" s="22">
        <f t="shared" si="8"/>
        <v>30</v>
      </c>
      <c r="BA14" s="22">
        <f>Sep_Month[[#This Row],[Days]]-Sep_Month[[#This Row],[Absent]]</f>
        <v>28</v>
      </c>
      <c r="BB14" s="23">
        <v>15000</v>
      </c>
      <c r="BC14" s="23">
        <f>Sep_Month[[#This Row],[Salary]]/Sep_Month[[#This Row],[Days]]</f>
        <v>500</v>
      </c>
      <c r="BD14" s="24">
        <f>Sep_Month[[#This Row],[PerDay Salary]]*Sep_Month[[#This Row],[Absent]]</f>
        <v>1000</v>
      </c>
      <c r="BE14" s="23">
        <f>Sep_Month[[#This Row],[Salary]]-Sep_Month[[#This Row],[Deduction]]</f>
        <v>14000</v>
      </c>
      <c r="BF14" s="22"/>
      <c r="BG14" s="36"/>
    </row>
    <row r="15" spans="1:59" ht="15.75" x14ac:dyDescent="0.25">
      <c r="A15"/>
      <c r="B15"/>
      <c r="C15"/>
      <c r="D15" s="29"/>
      <c r="F15" s="31"/>
      <c r="G15" s="3">
        <v>7</v>
      </c>
      <c r="H15" s="4">
        <v>1007</v>
      </c>
      <c r="I15" s="5" t="s">
        <v>9</v>
      </c>
      <c r="J15" s="37">
        <f t="shared" si="9"/>
        <v>4</v>
      </c>
      <c r="K15" s="38" t="s">
        <v>43</v>
      </c>
      <c r="L15" s="38" t="s">
        <v>43</v>
      </c>
      <c r="M15" s="38" t="s">
        <v>43</v>
      </c>
      <c r="N15" s="38" t="s">
        <v>42</v>
      </c>
      <c r="O15" s="38" t="s">
        <v>43</v>
      </c>
      <c r="P15" s="38" t="s">
        <v>43</v>
      </c>
      <c r="Q15" s="38" t="str">
        <f t="shared" si="2"/>
        <v>WO</v>
      </c>
      <c r="R15" s="38" t="s">
        <v>43</v>
      </c>
      <c r="S15" s="38" t="s">
        <v>43</v>
      </c>
      <c r="T15" s="38" t="s">
        <v>43</v>
      </c>
      <c r="U15" s="38" t="s">
        <v>43</v>
      </c>
      <c r="V15" s="38" t="s">
        <v>43</v>
      </c>
      <c r="W15" s="38" t="s">
        <v>43</v>
      </c>
      <c r="X15" s="38" t="str">
        <f t="shared" si="2"/>
        <v>WO</v>
      </c>
      <c r="Y15" s="38" t="s">
        <v>43</v>
      </c>
      <c r="Z15" s="38" t="s">
        <v>43</v>
      </c>
      <c r="AA15" s="38" t="s">
        <v>44</v>
      </c>
      <c r="AB15" s="38" t="s">
        <v>43</v>
      </c>
      <c r="AC15" s="38" t="s">
        <v>43</v>
      </c>
      <c r="AD15" s="38" t="s">
        <v>43</v>
      </c>
      <c r="AE15" s="38" t="str">
        <f t="shared" si="2"/>
        <v>WO</v>
      </c>
      <c r="AF15" s="38" t="s">
        <v>43</v>
      </c>
      <c r="AG15" s="38" t="s">
        <v>43</v>
      </c>
      <c r="AH15" s="38" t="s">
        <v>42</v>
      </c>
      <c r="AI15" s="38" t="s">
        <v>43</v>
      </c>
      <c r="AJ15" s="38" t="s">
        <v>43</v>
      </c>
      <c r="AK15" s="38" t="s">
        <v>43</v>
      </c>
      <c r="AL15" s="38" t="str">
        <f t="shared" si="2"/>
        <v>WO</v>
      </c>
      <c r="AM15" s="38" t="s">
        <v>43</v>
      </c>
      <c r="AN15" s="38" t="s">
        <v>43</v>
      </c>
      <c r="AO15" s="39"/>
      <c r="AP15" s="31"/>
      <c r="AQ15" s="36"/>
      <c r="AR15" s="19">
        <v>7</v>
      </c>
      <c r="AS15" s="19">
        <v>1007</v>
      </c>
      <c r="AT15" s="19" t="str">
        <f t="shared" si="3"/>
        <v>September</v>
      </c>
      <c r="AU15" s="19" t="s">
        <v>9</v>
      </c>
      <c r="AV15" s="27">
        <f t="shared" si="4"/>
        <v>23</v>
      </c>
      <c r="AW15" s="22">
        <f t="shared" si="5"/>
        <v>1</v>
      </c>
      <c r="AX15" s="22">
        <f t="shared" si="6"/>
        <v>2</v>
      </c>
      <c r="AY15" s="22">
        <f t="shared" si="7"/>
        <v>4</v>
      </c>
      <c r="AZ15" s="22">
        <f t="shared" si="8"/>
        <v>30</v>
      </c>
      <c r="BA15" s="22">
        <f>Sep_Month[[#This Row],[Days]]-Sep_Month[[#This Row],[Absent]]</f>
        <v>29</v>
      </c>
      <c r="BB15" s="23">
        <v>62000</v>
      </c>
      <c r="BC15" s="23">
        <f>Sep_Month[[#This Row],[Salary]]/Sep_Month[[#This Row],[Days]]</f>
        <v>2066.6666666666665</v>
      </c>
      <c r="BD15" s="24">
        <f>Sep_Month[[#This Row],[PerDay Salary]]*Sep_Month[[#This Row],[Absent]]</f>
        <v>2066.6666666666665</v>
      </c>
      <c r="BE15" s="23">
        <f>Sep_Month[[#This Row],[Salary]]-Sep_Month[[#This Row],[Deduction]]</f>
        <v>59933.333333333336</v>
      </c>
      <c r="BF15" s="22"/>
      <c r="BG15" s="36"/>
    </row>
    <row r="16" spans="1:59" ht="15.75" x14ac:dyDescent="0.25">
      <c r="A16"/>
      <c r="B16"/>
      <c r="C16"/>
      <c r="D16" s="29"/>
      <c r="F16" s="31"/>
      <c r="G16" s="3">
        <v>8</v>
      </c>
      <c r="H16" s="4">
        <v>1008</v>
      </c>
      <c r="I16" s="5" t="s">
        <v>10</v>
      </c>
      <c r="J16" s="37">
        <f t="shared" si="9"/>
        <v>4</v>
      </c>
      <c r="K16" s="38" t="s">
        <v>43</v>
      </c>
      <c r="L16" s="38" t="s">
        <v>43</v>
      </c>
      <c r="M16" s="38" t="s">
        <v>43</v>
      </c>
      <c r="N16" s="38" t="s">
        <v>42</v>
      </c>
      <c r="O16" s="38" t="s">
        <v>43</v>
      </c>
      <c r="P16" s="38" t="s">
        <v>43</v>
      </c>
      <c r="Q16" s="38" t="str">
        <f t="shared" si="2"/>
        <v>WO</v>
      </c>
      <c r="R16" s="38" t="s">
        <v>43</v>
      </c>
      <c r="S16" s="38" t="s">
        <v>43</v>
      </c>
      <c r="T16" s="38" t="s">
        <v>43</v>
      </c>
      <c r="U16" s="38" t="s">
        <v>43</v>
      </c>
      <c r="V16" s="38" t="s">
        <v>43</v>
      </c>
      <c r="W16" s="38" t="s">
        <v>43</v>
      </c>
      <c r="X16" s="38" t="str">
        <f t="shared" si="2"/>
        <v>WO</v>
      </c>
      <c r="Y16" s="38" t="s">
        <v>43</v>
      </c>
      <c r="Z16" s="38" t="s">
        <v>44</v>
      </c>
      <c r="AA16" s="38" t="s">
        <v>43</v>
      </c>
      <c r="AB16" s="38" t="s">
        <v>43</v>
      </c>
      <c r="AC16" s="38" t="s">
        <v>43</v>
      </c>
      <c r="AD16" s="38" t="s">
        <v>43</v>
      </c>
      <c r="AE16" s="38" t="str">
        <f t="shared" si="2"/>
        <v>WO</v>
      </c>
      <c r="AF16" s="38" t="s">
        <v>43</v>
      </c>
      <c r="AG16" s="38" t="s">
        <v>43</v>
      </c>
      <c r="AH16" s="38" t="s">
        <v>42</v>
      </c>
      <c r="AI16" s="38" t="s">
        <v>43</v>
      </c>
      <c r="AJ16" s="38" t="s">
        <v>43</v>
      </c>
      <c r="AK16" s="38" t="s">
        <v>43</v>
      </c>
      <c r="AL16" s="38" t="str">
        <f t="shared" si="2"/>
        <v>WO</v>
      </c>
      <c r="AM16" s="38" t="s">
        <v>44</v>
      </c>
      <c r="AN16" s="38" t="s">
        <v>43</v>
      </c>
      <c r="AO16" s="39"/>
      <c r="AP16" s="31"/>
      <c r="AQ16" s="36"/>
      <c r="AR16" s="19">
        <v>8</v>
      </c>
      <c r="AS16" s="19">
        <v>1008</v>
      </c>
      <c r="AT16" s="19" t="str">
        <f t="shared" si="3"/>
        <v>September</v>
      </c>
      <c r="AU16" s="19" t="s">
        <v>10</v>
      </c>
      <c r="AV16" s="27">
        <f t="shared" si="4"/>
        <v>22</v>
      </c>
      <c r="AW16" s="22">
        <f t="shared" si="5"/>
        <v>2</v>
      </c>
      <c r="AX16" s="22">
        <f t="shared" si="6"/>
        <v>2</v>
      </c>
      <c r="AY16" s="22">
        <f t="shared" si="7"/>
        <v>4</v>
      </c>
      <c r="AZ16" s="22">
        <f t="shared" si="8"/>
        <v>30</v>
      </c>
      <c r="BA16" s="22">
        <f>Sep_Month[[#This Row],[Days]]-Sep_Month[[#This Row],[Absent]]</f>
        <v>28</v>
      </c>
      <c r="BB16" s="23">
        <v>50000</v>
      </c>
      <c r="BC16" s="23">
        <f>Sep_Month[[#This Row],[Salary]]/Sep_Month[[#This Row],[Days]]</f>
        <v>1666.6666666666667</v>
      </c>
      <c r="BD16" s="24">
        <f>Sep_Month[[#This Row],[PerDay Salary]]*Sep_Month[[#This Row],[Absent]]</f>
        <v>3333.3333333333335</v>
      </c>
      <c r="BE16" s="23">
        <f>Sep_Month[[#This Row],[Salary]]-Sep_Month[[#This Row],[Deduction]]</f>
        <v>46666.666666666664</v>
      </c>
      <c r="BF16" s="22"/>
      <c r="BG16" s="36"/>
    </row>
    <row r="17" spans="1:59" ht="15.75" x14ac:dyDescent="0.25">
      <c r="A17"/>
      <c r="B17"/>
      <c r="C17"/>
      <c r="D17" s="29"/>
      <c r="F17" s="31"/>
      <c r="G17" s="3">
        <v>9</v>
      </c>
      <c r="H17" s="4">
        <v>1009</v>
      </c>
      <c r="I17" s="5" t="s">
        <v>11</v>
      </c>
      <c r="J17" s="37">
        <f t="shared" si="9"/>
        <v>4</v>
      </c>
      <c r="K17" s="38" t="s">
        <v>43</v>
      </c>
      <c r="L17" s="38" t="s">
        <v>43</v>
      </c>
      <c r="M17" s="38" t="s">
        <v>43</v>
      </c>
      <c r="N17" s="38" t="s">
        <v>42</v>
      </c>
      <c r="O17" s="38" t="s">
        <v>43</v>
      </c>
      <c r="P17" s="38" t="s">
        <v>43</v>
      </c>
      <c r="Q17" s="38" t="str">
        <f t="shared" si="2"/>
        <v>WO</v>
      </c>
      <c r="R17" s="38" t="s">
        <v>43</v>
      </c>
      <c r="S17" s="38" t="s">
        <v>43</v>
      </c>
      <c r="T17" s="38" t="s">
        <v>43</v>
      </c>
      <c r="U17" s="38" t="s">
        <v>43</v>
      </c>
      <c r="V17" s="38" t="s">
        <v>43</v>
      </c>
      <c r="W17" s="38" t="s">
        <v>43</v>
      </c>
      <c r="X17" s="38" t="str">
        <f t="shared" si="2"/>
        <v>WO</v>
      </c>
      <c r="Y17" s="38" t="s">
        <v>44</v>
      </c>
      <c r="Z17" s="38" t="s">
        <v>43</v>
      </c>
      <c r="AA17" s="38" t="s">
        <v>43</v>
      </c>
      <c r="AB17" s="38" t="s">
        <v>43</v>
      </c>
      <c r="AC17" s="38" t="s">
        <v>43</v>
      </c>
      <c r="AD17" s="38" t="s">
        <v>43</v>
      </c>
      <c r="AE17" s="38" t="str">
        <f t="shared" ref="AE17:AL17" si="10">IF(AE$7="Sun","WO","")</f>
        <v>WO</v>
      </c>
      <c r="AF17" s="38" t="s">
        <v>43</v>
      </c>
      <c r="AG17" s="38" t="s">
        <v>43</v>
      </c>
      <c r="AH17" s="38" t="s">
        <v>42</v>
      </c>
      <c r="AI17" s="38" t="s">
        <v>43</v>
      </c>
      <c r="AJ17" s="38" t="s">
        <v>43</v>
      </c>
      <c r="AK17" s="38" t="s">
        <v>43</v>
      </c>
      <c r="AL17" s="38" t="str">
        <f t="shared" si="10"/>
        <v>WO</v>
      </c>
      <c r="AM17" s="38" t="s">
        <v>43</v>
      </c>
      <c r="AN17" s="38" t="s">
        <v>43</v>
      </c>
      <c r="AO17" s="39"/>
      <c r="AP17" s="31"/>
      <c r="AQ17" s="36"/>
      <c r="AR17" s="19">
        <v>9</v>
      </c>
      <c r="AS17" s="19">
        <v>1009</v>
      </c>
      <c r="AT17" s="19" t="str">
        <f t="shared" si="3"/>
        <v>September</v>
      </c>
      <c r="AU17" s="19" t="s">
        <v>11</v>
      </c>
      <c r="AV17" s="27">
        <f t="shared" si="4"/>
        <v>23</v>
      </c>
      <c r="AW17" s="22">
        <f t="shared" si="5"/>
        <v>1</v>
      </c>
      <c r="AX17" s="22">
        <f t="shared" si="6"/>
        <v>2</v>
      </c>
      <c r="AY17" s="22">
        <f t="shared" si="7"/>
        <v>4</v>
      </c>
      <c r="AZ17" s="22">
        <f t="shared" si="8"/>
        <v>30</v>
      </c>
      <c r="BA17" s="22">
        <f>Sep_Month[[#This Row],[Days]]-Sep_Month[[#This Row],[Absent]]</f>
        <v>29</v>
      </c>
      <c r="BB17" s="23">
        <v>25000</v>
      </c>
      <c r="BC17" s="23">
        <f>Sep_Month[[#This Row],[Salary]]/Sep_Month[[#This Row],[Days]]</f>
        <v>833.33333333333337</v>
      </c>
      <c r="BD17" s="24">
        <f>Sep_Month[[#This Row],[PerDay Salary]]*Sep_Month[[#This Row],[Absent]]</f>
        <v>833.33333333333337</v>
      </c>
      <c r="BE17" s="23">
        <f>Sep_Month[[#This Row],[Salary]]-Sep_Month[[#This Row],[Deduction]]</f>
        <v>24166.666666666668</v>
      </c>
      <c r="BF17" s="22"/>
      <c r="BG17" s="36"/>
    </row>
    <row r="18" spans="1:59" ht="15.75" x14ac:dyDescent="0.25">
      <c r="A18"/>
      <c r="B18"/>
      <c r="C18"/>
      <c r="D18" s="29"/>
      <c r="F18" s="31"/>
      <c r="G18" s="3">
        <v>10</v>
      </c>
      <c r="H18" s="4">
        <v>1010</v>
      </c>
      <c r="I18" s="5" t="s">
        <v>12</v>
      </c>
      <c r="J18" s="37">
        <f t="shared" si="9"/>
        <v>4</v>
      </c>
      <c r="K18" s="38" t="s">
        <v>43</v>
      </c>
      <c r="L18" s="38" t="s">
        <v>43</v>
      </c>
      <c r="M18" s="38" t="s">
        <v>43</v>
      </c>
      <c r="N18" s="38" t="s">
        <v>42</v>
      </c>
      <c r="O18" s="38" t="s">
        <v>43</v>
      </c>
      <c r="P18" s="38" t="s">
        <v>43</v>
      </c>
      <c r="Q18" s="38" t="str">
        <f t="shared" ref="Q18:X28" si="11">IF(Q$7="Sun","WO","")</f>
        <v>WO</v>
      </c>
      <c r="R18" s="38" t="s">
        <v>43</v>
      </c>
      <c r="S18" s="38" t="s">
        <v>43</v>
      </c>
      <c r="T18" s="38" t="s">
        <v>43</v>
      </c>
      <c r="U18" s="38" t="s">
        <v>43</v>
      </c>
      <c r="V18" s="38" t="s">
        <v>43</v>
      </c>
      <c r="W18" s="38" t="s">
        <v>44</v>
      </c>
      <c r="X18" s="38" t="str">
        <f t="shared" si="11"/>
        <v>WO</v>
      </c>
      <c r="Y18" s="38" t="s">
        <v>43</v>
      </c>
      <c r="Z18" s="38" t="s">
        <v>43</v>
      </c>
      <c r="AA18" s="38" t="s">
        <v>43</v>
      </c>
      <c r="AB18" s="38" t="s">
        <v>43</v>
      </c>
      <c r="AC18" s="38" t="s">
        <v>43</v>
      </c>
      <c r="AD18" s="38" t="s">
        <v>43</v>
      </c>
      <c r="AE18" s="38" t="str">
        <f t="shared" ref="AE18:AL28" si="12">IF(AE$7="Sun","WO","")</f>
        <v>WO</v>
      </c>
      <c r="AF18" s="38" t="s">
        <v>43</v>
      </c>
      <c r="AG18" s="38" t="s">
        <v>43</v>
      </c>
      <c r="AH18" s="38" t="s">
        <v>42</v>
      </c>
      <c r="AI18" s="38" t="s">
        <v>43</v>
      </c>
      <c r="AJ18" s="38" t="s">
        <v>43</v>
      </c>
      <c r="AK18" s="38" t="s">
        <v>43</v>
      </c>
      <c r="AL18" s="38" t="str">
        <f t="shared" si="12"/>
        <v>WO</v>
      </c>
      <c r="AM18" s="38" t="s">
        <v>43</v>
      </c>
      <c r="AN18" s="38" t="s">
        <v>43</v>
      </c>
      <c r="AO18" s="39"/>
      <c r="AP18" s="31"/>
      <c r="AQ18" s="36"/>
      <c r="AR18" s="19">
        <v>10</v>
      </c>
      <c r="AS18" s="19">
        <v>1010</v>
      </c>
      <c r="AT18" s="19" t="str">
        <f t="shared" si="3"/>
        <v>September</v>
      </c>
      <c r="AU18" s="19" t="s">
        <v>12</v>
      </c>
      <c r="AV18" s="27">
        <f t="shared" si="4"/>
        <v>23</v>
      </c>
      <c r="AW18" s="22">
        <f t="shared" si="5"/>
        <v>1</v>
      </c>
      <c r="AX18" s="22">
        <f t="shared" si="6"/>
        <v>2</v>
      </c>
      <c r="AY18" s="22">
        <f t="shared" si="7"/>
        <v>4</v>
      </c>
      <c r="AZ18" s="22">
        <f t="shared" si="8"/>
        <v>30</v>
      </c>
      <c r="BA18" s="22">
        <f>Sep_Month[[#This Row],[Days]]-Sep_Month[[#This Row],[Absent]]</f>
        <v>29</v>
      </c>
      <c r="BB18" s="23">
        <v>45000</v>
      </c>
      <c r="BC18" s="23">
        <f>Sep_Month[[#This Row],[Salary]]/Sep_Month[[#This Row],[Days]]</f>
        <v>1500</v>
      </c>
      <c r="BD18" s="24">
        <f>Sep_Month[[#This Row],[PerDay Salary]]*Sep_Month[[#This Row],[Absent]]</f>
        <v>1500</v>
      </c>
      <c r="BE18" s="23">
        <f>Sep_Month[[#This Row],[Salary]]-Sep_Month[[#This Row],[Deduction]]</f>
        <v>43500</v>
      </c>
      <c r="BF18" s="22"/>
      <c r="BG18" s="36"/>
    </row>
    <row r="19" spans="1:59" ht="15.75" x14ac:dyDescent="0.25">
      <c r="A19"/>
      <c r="B19"/>
      <c r="C19"/>
      <c r="D19" s="29"/>
      <c r="F19" s="31"/>
      <c r="G19" s="3">
        <v>11</v>
      </c>
      <c r="H19" s="4">
        <v>1011</v>
      </c>
      <c r="I19" s="5" t="s">
        <v>13</v>
      </c>
      <c r="J19" s="37">
        <f t="shared" si="9"/>
        <v>4</v>
      </c>
      <c r="K19" s="38" t="s">
        <v>43</v>
      </c>
      <c r="L19" s="38" t="s">
        <v>43</v>
      </c>
      <c r="M19" s="38" t="s">
        <v>43</v>
      </c>
      <c r="N19" s="38" t="s">
        <v>42</v>
      </c>
      <c r="O19" s="38" t="s">
        <v>43</v>
      </c>
      <c r="P19" s="38" t="s">
        <v>43</v>
      </c>
      <c r="Q19" s="38" t="str">
        <f t="shared" si="11"/>
        <v>WO</v>
      </c>
      <c r="R19" s="38" t="s">
        <v>43</v>
      </c>
      <c r="S19" s="38" t="s">
        <v>43</v>
      </c>
      <c r="T19" s="38" t="s">
        <v>43</v>
      </c>
      <c r="U19" s="38" t="s">
        <v>43</v>
      </c>
      <c r="V19" s="38" t="s">
        <v>44</v>
      </c>
      <c r="W19" s="38" t="s">
        <v>43</v>
      </c>
      <c r="X19" s="38" t="str">
        <f t="shared" si="11"/>
        <v>WO</v>
      </c>
      <c r="Y19" s="38" t="s">
        <v>43</v>
      </c>
      <c r="Z19" s="38" t="s">
        <v>43</v>
      </c>
      <c r="AA19" s="38" t="s">
        <v>43</v>
      </c>
      <c r="AB19" s="38" t="s">
        <v>43</v>
      </c>
      <c r="AC19" s="38" t="s">
        <v>43</v>
      </c>
      <c r="AD19" s="38" t="s">
        <v>43</v>
      </c>
      <c r="AE19" s="38" t="str">
        <f t="shared" si="12"/>
        <v>WO</v>
      </c>
      <c r="AF19" s="38" t="s">
        <v>43</v>
      </c>
      <c r="AG19" s="38" t="s">
        <v>43</v>
      </c>
      <c r="AH19" s="38" t="s">
        <v>42</v>
      </c>
      <c r="AI19" s="38" t="s">
        <v>43</v>
      </c>
      <c r="AJ19" s="38" t="s">
        <v>43</v>
      </c>
      <c r="AK19" s="38" t="s">
        <v>43</v>
      </c>
      <c r="AL19" s="38" t="str">
        <f t="shared" si="12"/>
        <v>WO</v>
      </c>
      <c r="AM19" s="38" t="s">
        <v>43</v>
      </c>
      <c r="AN19" s="38" t="s">
        <v>43</v>
      </c>
      <c r="AO19" s="39"/>
      <c r="AP19" s="31"/>
      <c r="AQ19" s="36"/>
      <c r="AR19" s="19">
        <v>11</v>
      </c>
      <c r="AS19" s="19">
        <v>1011</v>
      </c>
      <c r="AT19" s="19" t="str">
        <f t="shared" si="3"/>
        <v>September</v>
      </c>
      <c r="AU19" s="19" t="s">
        <v>13</v>
      </c>
      <c r="AV19" s="27">
        <f t="shared" si="4"/>
        <v>23</v>
      </c>
      <c r="AW19" s="22">
        <f t="shared" si="5"/>
        <v>1</v>
      </c>
      <c r="AX19" s="22">
        <f t="shared" si="6"/>
        <v>2</v>
      </c>
      <c r="AY19" s="22">
        <f t="shared" si="7"/>
        <v>4</v>
      </c>
      <c r="AZ19" s="22">
        <f t="shared" si="8"/>
        <v>30</v>
      </c>
      <c r="BA19" s="22">
        <f>Sep_Month[[#This Row],[Days]]-Sep_Month[[#This Row],[Absent]]</f>
        <v>29</v>
      </c>
      <c r="BB19" s="23">
        <v>48000</v>
      </c>
      <c r="BC19" s="23">
        <f>Sep_Month[[#This Row],[Salary]]/Sep_Month[[#This Row],[Days]]</f>
        <v>1600</v>
      </c>
      <c r="BD19" s="24">
        <f>Sep_Month[[#This Row],[PerDay Salary]]*Sep_Month[[#This Row],[Absent]]</f>
        <v>1600</v>
      </c>
      <c r="BE19" s="23">
        <f>Sep_Month[[#This Row],[Salary]]-Sep_Month[[#This Row],[Deduction]]</f>
        <v>46400</v>
      </c>
      <c r="BF19" s="22"/>
      <c r="BG19" s="36"/>
    </row>
    <row r="20" spans="1:59" ht="15.75" x14ac:dyDescent="0.25">
      <c r="A20"/>
      <c r="B20"/>
      <c r="C20"/>
      <c r="D20" s="29"/>
      <c r="F20" s="31"/>
      <c r="G20" s="3">
        <v>12</v>
      </c>
      <c r="H20" s="4">
        <v>1012</v>
      </c>
      <c r="I20" s="5" t="s">
        <v>14</v>
      </c>
      <c r="J20" s="37">
        <f t="shared" si="9"/>
        <v>4</v>
      </c>
      <c r="K20" s="38" t="s">
        <v>43</v>
      </c>
      <c r="L20" s="38" t="s">
        <v>43</v>
      </c>
      <c r="M20" s="38" t="s">
        <v>43</v>
      </c>
      <c r="N20" s="38" t="s">
        <v>42</v>
      </c>
      <c r="O20" s="38" t="s">
        <v>43</v>
      </c>
      <c r="P20" s="38" t="s">
        <v>43</v>
      </c>
      <c r="Q20" s="38" t="str">
        <f t="shared" si="11"/>
        <v>WO</v>
      </c>
      <c r="R20" s="38" t="s">
        <v>43</v>
      </c>
      <c r="S20" s="38" t="s">
        <v>43</v>
      </c>
      <c r="T20" s="38" t="s">
        <v>43</v>
      </c>
      <c r="U20" s="38" t="s">
        <v>44</v>
      </c>
      <c r="V20" s="38" t="s">
        <v>43</v>
      </c>
      <c r="W20" s="38" t="s">
        <v>43</v>
      </c>
      <c r="X20" s="38" t="str">
        <f t="shared" si="11"/>
        <v>WO</v>
      </c>
      <c r="Y20" s="38" t="s">
        <v>43</v>
      </c>
      <c r="Z20" s="38" t="s">
        <v>43</v>
      </c>
      <c r="AA20" s="38" t="s">
        <v>43</v>
      </c>
      <c r="AB20" s="38" t="s">
        <v>43</v>
      </c>
      <c r="AC20" s="38" t="s">
        <v>43</v>
      </c>
      <c r="AD20" s="38" t="s">
        <v>43</v>
      </c>
      <c r="AE20" s="38" t="str">
        <f t="shared" si="12"/>
        <v>WO</v>
      </c>
      <c r="AF20" s="38" t="s">
        <v>43</v>
      </c>
      <c r="AG20" s="38" t="s">
        <v>43</v>
      </c>
      <c r="AH20" s="38" t="s">
        <v>42</v>
      </c>
      <c r="AI20" s="38" t="s">
        <v>43</v>
      </c>
      <c r="AJ20" s="38" t="s">
        <v>43</v>
      </c>
      <c r="AK20" s="38" t="s">
        <v>43</v>
      </c>
      <c r="AL20" s="38" t="str">
        <f t="shared" si="12"/>
        <v>WO</v>
      </c>
      <c r="AM20" s="38" t="s">
        <v>43</v>
      </c>
      <c r="AN20" s="38" t="s">
        <v>43</v>
      </c>
      <c r="AO20" s="39"/>
      <c r="AP20" s="31"/>
      <c r="AQ20" s="36"/>
      <c r="AR20" s="19">
        <v>12</v>
      </c>
      <c r="AS20" s="19">
        <v>1012</v>
      </c>
      <c r="AT20" s="19" t="str">
        <f t="shared" si="3"/>
        <v>September</v>
      </c>
      <c r="AU20" s="19" t="s">
        <v>14</v>
      </c>
      <c r="AV20" s="27">
        <f t="shared" si="4"/>
        <v>23</v>
      </c>
      <c r="AW20" s="22">
        <f t="shared" si="5"/>
        <v>1</v>
      </c>
      <c r="AX20" s="22">
        <f t="shared" si="6"/>
        <v>2</v>
      </c>
      <c r="AY20" s="22">
        <f t="shared" si="7"/>
        <v>4</v>
      </c>
      <c r="AZ20" s="22">
        <f t="shared" si="8"/>
        <v>30</v>
      </c>
      <c r="BA20" s="22">
        <f>Sep_Month[[#This Row],[Days]]-Sep_Month[[#This Row],[Absent]]</f>
        <v>29</v>
      </c>
      <c r="BB20" s="23">
        <v>52000</v>
      </c>
      <c r="BC20" s="23">
        <f>Sep_Month[[#This Row],[Salary]]/Sep_Month[[#This Row],[Days]]</f>
        <v>1733.3333333333333</v>
      </c>
      <c r="BD20" s="24">
        <f>Sep_Month[[#This Row],[PerDay Salary]]*Sep_Month[[#This Row],[Absent]]</f>
        <v>1733.3333333333333</v>
      </c>
      <c r="BE20" s="23">
        <f>Sep_Month[[#This Row],[Salary]]-Sep_Month[[#This Row],[Deduction]]</f>
        <v>50266.666666666664</v>
      </c>
      <c r="BF20" s="22"/>
      <c r="BG20" s="36"/>
    </row>
    <row r="21" spans="1:59" ht="15.75" x14ac:dyDescent="0.25">
      <c r="A21"/>
      <c r="B21"/>
      <c r="C21"/>
      <c r="D21" s="29"/>
      <c r="F21" s="31"/>
      <c r="G21" s="3">
        <v>13</v>
      </c>
      <c r="H21" s="4">
        <v>1013</v>
      </c>
      <c r="I21" s="5" t="s">
        <v>15</v>
      </c>
      <c r="J21" s="37">
        <f t="shared" si="9"/>
        <v>4</v>
      </c>
      <c r="K21" s="38" t="s">
        <v>43</v>
      </c>
      <c r="L21" s="38" t="s">
        <v>43</v>
      </c>
      <c r="M21" s="38" t="s">
        <v>43</v>
      </c>
      <c r="N21" s="38" t="s">
        <v>42</v>
      </c>
      <c r="O21" s="38" t="s">
        <v>43</v>
      </c>
      <c r="P21" s="38" t="s">
        <v>43</v>
      </c>
      <c r="Q21" s="38" t="str">
        <f t="shared" si="11"/>
        <v>WO</v>
      </c>
      <c r="R21" s="38" t="s">
        <v>43</v>
      </c>
      <c r="S21" s="38" t="s">
        <v>43</v>
      </c>
      <c r="T21" s="38" t="s">
        <v>44</v>
      </c>
      <c r="U21" s="38" t="s">
        <v>43</v>
      </c>
      <c r="V21" s="38" t="s">
        <v>43</v>
      </c>
      <c r="W21" s="38" t="s">
        <v>43</v>
      </c>
      <c r="X21" s="38" t="str">
        <f t="shared" si="11"/>
        <v>WO</v>
      </c>
      <c r="Y21" s="38" t="s">
        <v>43</v>
      </c>
      <c r="Z21" s="38" t="s">
        <v>43</v>
      </c>
      <c r="AA21" s="38" t="s">
        <v>43</v>
      </c>
      <c r="AB21" s="38" t="s">
        <v>43</v>
      </c>
      <c r="AC21" s="38" t="s">
        <v>43</v>
      </c>
      <c r="AD21" s="38" t="s">
        <v>43</v>
      </c>
      <c r="AE21" s="38" t="str">
        <f t="shared" si="12"/>
        <v>WO</v>
      </c>
      <c r="AF21" s="38" t="s">
        <v>43</v>
      </c>
      <c r="AG21" s="38" t="s">
        <v>43</v>
      </c>
      <c r="AH21" s="38" t="s">
        <v>42</v>
      </c>
      <c r="AI21" s="38" t="s">
        <v>43</v>
      </c>
      <c r="AJ21" s="38" t="s">
        <v>44</v>
      </c>
      <c r="AK21" s="38" t="s">
        <v>43</v>
      </c>
      <c r="AL21" s="38" t="str">
        <f t="shared" si="12"/>
        <v>WO</v>
      </c>
      <c r="AM21" s="38" t="s">
        <v>43</v>
      </c>
      <c r="AN21" s="38" t="s">
        <v>43</v>
      </c>
      <c r="AO21" s="39"/>
      <c r="AP21" s="31"/>
      <c r="AQ21" s="36"/>
      <c r="AR21" s="19">
        <v>13</v>
      </c>
      <c r="AS21" s="19">
        <v>1013</v>
      </c>
      <c r="AT21" s="19" t="str">
        <f t="shared" si="3"/>
        <v>September</v>
      </c>
      <c r="AU21" s="19" t="s">
        <v>15</v>
      </c>
      <c r="AV21" s="27">
        <f t="shared" si="4"/>
        <v>22</v>
      </c>
      <c r="AW21" s="22">
        <f t="shared" si="5"/>
        <v>2</v>
      </c>
      <c r="AX21" s="22">
        <f t="shared" si="6"/>
        <v>2</v>
      </c>
      <c r="AY21" s="22">
        <f t="shared" si="7"/>
        <v>4</v>
      </c>
      <c r="AZ21" s="22">
        <f t="shared" si="8"/>
        <v>30</v>
      </c>
      <c r="BA21" s="22">
        <f>Sep_Month[[#This Row],[Days]]-Sep_Month[[#This Row],[Absent]]</f>
        <v>28</v>
      </c>
      <c r="BB21" s="23">
        <v>42000</v>
      </c>
      <c r="BC21" s="23">
        <f>Sep_Month[[#This Row],[Salary]]/Sep_Month[[#This Row],[Days]]</f>
        <v>1400</v>
      </c>
      <c r="BD21" s="24">
        <f>Sep_Month[[#This Row],[PerDay Salary]]*Sep_Month[[#This Row],[Absent]]</f>
        <v>2800</v>
      </c>
      <c r="BE21" s="23">
        <f>Sep_Month[[#This Row],[Salary]]-Sep_Month[[#This Row],[Deduction]]</f>
        <v>39200</v>
      </c>
      <c r="BF21" s="22"/>
      <c r="BG21" s="36"/>
    </row>
    <row r="22" spans="1:59" ht="15.75" x14ac:dyDescent="0.25">
      <c r="A22"/>
      <c r="B22"/>
      <c r="C22"/>
      <c r="D22" s="29"/>
      <c r="F22" s="31"/>
      <c r="G22" s="3">
        <v>14</v>
      </c>
      <c r="H22" s="4">
        <v>1014</v>
      </c>
      <c r="I22" s="5" t="s">
        <v>16</v>
      </c>
      <c r="J22" s="37">
        <f t="shared" si="9"/>
        <v>4</v>
      </c>
      <c r="K22" s="38" t="s">
        <v>43</v>
      </c>
      <c r="L22" s="38" t="s">
        <v>43</v>
      </c>
      <c r="M22" s="38" t="s">
        <v>43</v>
      </c>
      <c r="N22" s="38" t="s">
        <v>42</v>
      </c>
      <c r="O22" s="38" t="s">
        <v>43</v>
      </c>
      <c r="P22" s="38" t="s">
        <v>43</v>
      </c>
      <c r="Q22" s="38" t="str">
        <f t="shared" si="11"/>
        <v>WO</v>
      </c>
      <c r="R22" s="38" t="s">
        <v>43</v>
      </c>
      <c r="S22" s="38" t="s">
        <v>44</v>
      </c>
      <c r="T22" s="38" t="s">
        <v>43</v>
      </c>
      <c r="U22" s="38" t="s">
        <v>43</v>
      </c>
      <c r="V22" s="38" t="s">
        <v>43</v>
      </c>
      <c r="W22" s="38" t="s">
        <v>43</v>
      </c>
      <c r="X22" s="38" t="str">
        <f t="shared" si="11"/>
        <v>WO</v>
      </c>
      <c r="Y22" s="38" t="s">
        <v>43</v>
      </c>
      <c r="Z22" s="38" t="s">
        <v>43</v>
      </c>
      <c r="AA22" s="38" t="s">
        <v>43</v>
      </c>
      <c r="AB22" s="38" t="s">
        <v>43</v>
      </c>
      <c r="AC22" s="38" t="s">
        <v>43</v>
      </c>
      <c r="AD22" s="38" t="s">
        <v>43</v>
      </c>
      <c r="AE22" s="38" t="str">
        <f t="shared" si="12"/>
        <v>WO</v>
      </c>
      <c r="AF22" s="38" t="s">
        <v>43</v>
      </c>
      <c r="AG22" s="38" t="s">
        <v>43</v>
      </c>
      <c r="AH22" s="38" t="s">
        <v>42</v>
      </c>
      <c r="AI22" s="38" t="s">
        <v>43</v>
      </c>
      <c r="AJ22" s="38" t="s">
        <v>43</v>
      </c>
      <c r="AK22" s="38" t="s">
        <v>43</v>
      </c>
      <c r="AL22" s="38" t="str">
        <f t="shared" si="12"/>
        <v>WO</v>
      </c>
      <c r="AM22" s="38" t="s">
        <v>43</v>
      </c>
      <c r="AN22" s="38" t="s">
        <v>43</v>
      </c>
      <c r="AO22" s="39"/>
      <c r="AP22" s="31"/>
      <c r="AQ22" s="36"/>
      <c r="AR22" s="19">
        <v>14</v>
      </c>
      <c r="AS22" s="19">
        <v>1014</v>
      </c>
      <c r="AT22" s="19" t="str">
        <f t="shared" si="3"/>
        <v>September</v>
      </c>
      <c r="AU22" s="19" t="s">
        <v>16</v>
      </c>
      <c r="AV22" s="27">
        <f t="shared" si="4"/>
        <v>23</v>
      </c>
      <c r="AW22" s="22">
        <f t="shared" si="5"/>
        <v>1</v>
      </c>
      <c r="AX22" s="22">
        <f t="shared" si="6"/>
        <v>2</v>
      </c>
      <c r="AY22" s="22">
        <f t="shared" si="7"/>
        <v>4</v>
      </c>
      <c r="AZ22" s="22">
        <f t="shared" si="8"/>
        <v>30</v>
      </c>
      <c r="BA22" s="22">
        <f>Sep_Month[[#This Row],[Days]]-Sep_Month[[#This Row],[Absent]]</f>
        <v>29</v>
      </c>
      <c r="BB22" s="23">
        <v>15000</v>
      </c>
      <c r="BC22" s="23">
        <f>Sep_Month[[#This Row],[Salary]]/Sep_Month[[#This Row],[Days]]</f>
        <v>500</v>
      </c>
      <c r="BD22" s="24">
        <f>Sep_Month[[#This Row],[PerDay Salary]]*Sep_Month[[#This Row],[Absent]]</f>
        <v>500</v>
      </c>
      <c r="BE22" s="23">
        <f>Sep_Month[[#This Row],[Salary]]-Sep_Month[[#This Row],[Deduction]]</f>
        <v>14500</v>
      </c>
      <c r="BF22" s="22"/>
      <c r="BG22" s="36"/>
    </row>
    <row r="23" spans="1:59" ht="15.75" x14ac:dyDescent="0.25">
      <c r="A23"/>
      <c r="B23"/>
      <c r="C23"/>
      <c r="D23" s="29"/>
      <c r="F23" s="31"/>
      <c r="G23" s="3">
        <v>15</v>
      </c>
      <c r="H23" s="4">
        <v>1015</v>
      </c>
      <c r="I23" s="5" t="s">
        <v>17</v>
      </c>
      <c r="J23" s="37">
        <f t="shared" si="9"/>
        <v>4</v>
      </c>
      <c r="K23" s="38" t="s">
        <v>43</v>
      </c>
      <c r="L23" s="38" t="s">
        <v>43</v>
      </c>
      <c r="M23" s="38" t="s">
        <v>43</v>
      </c>
      <c r="N23" s="38" t="s">
        <v>42</v>
      </c>
      <c r="O23" s="38" t="s">
        <v>43</v>
      </c>
      <c r="P23" s="38" t="s">
        <v>43</v>
      </c>
      <c r="Q23" s="38" t="str">
        <f t="shared" si="11"/>
        <v>WO</v>
      </c>
      <c r="R23" s="38" t="s">
        <v>44</v>
      </c>
      <c r="S23" s="38" t="s">
        <v>43</v>
      </c>
      <c r="T23" s="38" t="s">
        <v>43</v>
      </c>
      <c r="U23" s="38" t="s">
        <v>43</v>
      </c>
      <c r="V23" s="38" t="s">
        <v>43</v>
      </c>
      <c r="W23" s="38" t="s">
        <v>43</v>
      </c>
      <c r="X23" s="38" t="str">
        <f t="shared" si="11"/>
        <v>WO</v>
      </c>
      <c r="Y23" s="38" t="s">
        <v>43</v>
      </c>
      <c r="Z23" s="38" t="s">
        <v>43</v>
      </c>
      <c r="AA23" s="38" t="s">
        <v>43</v>
      </c>
      <c r="AB23" s="38" t="s">
        <v>43</v>
      </c>
      <c r="AC23" s="38" t="s">
        <v>43</v>
      </c>
      <c r="AD23" s="38" t="s">
        <v>43</v>
      </c>
      <c r="AE23" s="38" t="str">
        <f t="shared" si="12"/>
        <v>WO</v>
      </c>
      <c r="AF23" s="38" t="s">
        <v>43</v>
      </c>
      <c r="AG23" s="38" t="s">
        <v>43</v>
      </c>
      <c r="AH23" s="38" t="s">
        <v>42</v>
      </c>
      <c r="AI23" s="38" t="s">
        <v>43</v>
      </c>
      <c r="AJ23" s="38" t="s">
        <v>43</v>
      </c>
      <c r="AK23" s="38" t="s">
        <v>43</v>
      </c>
      <c r="AL23" s="38" t="str">
        <f t="shared" si="12"/>
        <v>WO</v>
      </c>
      <c r="AM23" s="38" t="s">
        <v>43</v>
      </c>
      <c r="AN23" s="38" t="s">
        <v>43</v>
      </c>
      <c r="AO23" s="39"/>
      <c r="AP23" s="31"/>
      <c r="AQ23" s="36"/>
      <c r="AR23" s="19">
        <v>15</v>
      </c>
      <c r="AS23" s="19">
        <v>1015</v>
      </c>
      <c r="AT23" s="19" t="str">
        <f t="shared" si="3"/>
        <v>September</v>
      </c>
      <c r="AU23" s="19" t="s">
        <v>17</v>
      </c>
      <c r="AV23" s="27">
        <f t="shared" si="4"/>
        <v>23</v>
      </c>
      <c r="AW23" s="22">
        <f t="shared" si="5"/>
        <v>1</v>
      </c>
      <c r="AX23" s="22">
        <f t="shared" si="6"/>
        <v>2</v>
      </c>
      <c r="AY23" s="22">
        <f t="shared" si="7"/>
        <v>4</v>
      </c>
      <c r="AZ23" s="22">
        <f t="shared" si="8"/>
        <v>30</v>
      </c>
      <c r="BA23" s="22">
        <f>Sep_Month[[#This Row],[Days]]-Sep_Month[[#This Row],[Absent]]</f>
        <v>29</v>
      </c>
      <c r="BB23" s="23">
        <v>46000</v>
      </c>
      <c r="BC23" s="23">
        <f>Sep_Month[[#This Row],[Salary]]/Sep_Month[[#This Row],[Days]]</f>
        <v>1533.3333333333333</v>
      </c>
      <c r="BD23" s="24">
        <f>Sep_Month[[#This Row],[PerDay Salary]]*Sep_Month[[#This Row],[Absent]]</f>
        <v>1533.3333333333333</v>
      </c>
      <c r="BE23" s="23">
        <f>Sep_Month[[#This Row],[Salary]]-Sep_Month[[#This Row],[Deduction]]</f>
        <v>44466.666666666664</v>
      </c>
      <c r="BF23" s="22"/>
      <c r="BG23" s="36"/>
    </row>
    <row r="24" spans="1:59" ht="15.75" x14ac:dyDescent="0.25">
      <c r="A24"/>
      <c r="B24"/>
      <c r="C24"/>
      <c r="D24" s="29"/>
      <c r="F24" s="31"/>
      <c r="G24" s="3">
        <v>16</v>
      </c>
      <c r="H24" s="4">
        <v>1016</v>
      </c>
      <c r="I24" s="5" t="s">
        <v>18</v>
      </c>
      <c r="J24" s="37">
        <f t="shared" si="9"/>
        <v>4</v>
      </c>
      <c r="K24" s="38" t="s">
        <v>43</v>
      </c>
      <c r="L24" s="38" t="s">
        <v>43</v>
      </c>
      <c r="M24" s="38" t="s">
        <v>43</v>
      </c>
      <c r="N24" s="38" t="s">
        <v>42</v>
      </c>
      <c r="O24" s="38" t="s">
        <v>43</v>
      </c>
      <c r="P24" s="38" t="s">
        <v>44</v>
      </c>
      <c r="Q24" s="38" t="str">
        <f t="shared" si="11"/>
        <v>WO</v>
      </c>
      <c r="R24" s="38" t="s">
        <v>43</v>
      </c>
      <c r="S24" s="38" t="s">
        <v>43</v>
      </c>
      <c r="T24" s="38" t="s">
        <v>43</v>
      </c>
      <c r="U24" s="38" t="s">
        <v>43</v>
      </c>
      <c r="V24" s="38" t="s">
        <v>43</v>
      </c>
      <c r="W24" s="38" t="s">
        <v>43</v>
      </c>
      <c r="X24" s="38" t="str">
        <f t="shared" si="11"/>
        <v>WO</v>
      </c>
      <c r="Y24" s="38" t="s">
        <v>43</v>
      </c>
      <c r="Z24" s="38" t="s">
        <v>43</v>
      </c>
      <c r="AA24" s="38" t="s">
        <v>43</v>
      </c>
      <c r="AB24" s="38" t="s">
        <v>43</v>
      </c>
      <c r="AC24" s="38" t="s">
        <v>43</v>
      </c>
      <c r="AD24" s="38" t="s">
        <v>43</v>
      </c>
      <c r="AE24" s="38" t="str">
        <f t="shared" si="12"/>
        <v>WO</v>
      </c>
      <c r="AF24" s="38" t="s">
        <v>43</v>
      </c>
      <c r="AG24" s="38" t="s">
        <v>43</v>
      </c>
      <c r="AH24" s="38" t="s">
        <v>42</v>
      </c>
      <c r="AI24" s="38" t="s">
        <v>43</v>
      </c>
      <c r="AJ24" s="38" t="s">
        <v>43</v>
      </c>
      <c r="AK24" s="38" t="s">
        <v>43</v>
      </c>
      <c r="AL24" s="38" t="str">
        <f t="shared" si="12"/>
        <v>WO</v>
      </c>
      <c r="AM24" s="38" t="s">
        <v>43</v>
      </c>
      <c r="AN24" s="38" t="s">
        <v>44</v>
      </c>
      <c r="AO24" s="39"/>
      <c r="AP24" s="31"/>
      <c r="AQ24" s="36"/>
      <c r="AR24" s="19">
        <v>16</v>
      </c>
      <c r="AS24" s="19">
        <v>1016</v>
      </c>
      <c r="AT24" s="19" t="str">
        <f t="shared" si="3"/>
        <v>September</v>
      </c>
      <c r="AU24" s="19" t="s">
        <v>18</v>
      </c>
      <c r="AV24" s="27">
        <f t="shared" si="4"/>
        <v>22</v>
      </c>
      <c r="AW24" s="22">
        <f t="shared" si="5"/>
        <v>2</v>
      </c>
      <c r="AX24" s="22">
        <f t="shared" si="6"/>
        <v>2</v>
      </c>
      <c r="AY24" s="22">
        <f t="shared" si="7"/>
        <v>4</v>
      </c>
      <c r="AZ24" s="22">
        <f t="shared" si="8"/>
        <v>30</v>
      </c>
      <c r="BA24" s="22">
        <f>Sep_Month[[#This Row],[Days]]-Sep_Month[[#This Row],[Absent]]</f>
        <v>28</v>
      </c>
      <c r="BB24" s="23">
        <v>52000</v>
      </c>
      <c r="BC24" s="23">
        <f>Sep_Month[[#This Row],[Salary]]/Sep_Month[[#This Row],[Days]]</f>
        <v>1733.3333333333333</v>
      </c>
      <c r="BD24" s="24">
        <f>Sep_Month[[#This Row],[PerDay Salary]]*Sep_Month[[#This Row],[Absent]]</f>
        <v>3466.6666666666665</v>
      </c>
      <c r="BE24" s="23">
        <f>Sep_Month[[#This Row],[Salary]]-Sep_Month[[#This Row],[Deduction]]</f>
        <v>48533.333333333336</v>
      </c>
      <c r="BF24" s="22"/>
      <c r="BG24" s="36"/>
    </row>
    <row r="25" spans="1:59" ht="15.75" x14ac:dyDescent="0.25">
      <c r="A25"/>
      <c r="B25"/>
      <c r="C25"/>
      <c r="D25" s="29"/>
      <c r="F25" s="31"/>
      <c r="G25" s="3">
        <v>17</v>
      </c>
      <c r="H25" s="4">
        <v>1017</v>
      </c>
      <c r="I25" s="5" t="s">
        <v>19</v>
      </c>
      <c r="J25" s="37">
        <f t="shared" si="9"/>
        <v>4</v>
      </c>
      <c r="K25" s="38" t="s">
        <v>43</v>
      </c>
      <c r="L25" s="38" t="s">
        <v>43</v>
      </c>
      <c r="M25" s="38" t="s">
        <v>43</v>
      </c>
      <c r="N25" s="38" t="s">
        <v>42</v>
      </c>
      <c r="O25" s="38" t="s">
        <v>44</v>
      </c>
      <c r="P25" s="38" t="s">
        <v>43</v>
      </c>
      <c r="Q25" s="38" t="str">
        <f t="shared" si="11"/>
        <v>WO</v>
      </c>
      <c r="R25" s="38" t="s">
        <v>43</v>
      </c>
      <c r="S25" s="38" t="s">
        <v>43</v>
      </c>
      <c r="T25" s="38" t="s">
        <v>43</v>
      </c>
      <c r="U25" s="38" t="s">
        <v>43</v>
      </c>
      <c r="V25" s="38" t="s">
        <v>43</v>
      </c>
      <c r="W25" s="38" t="s">
        <v>43</v>
      </c>
      <c r="X25" s="38" t="str">
        <f t="shared" si="11"/>
        <v>WO</v>
      </c>
      <c r="Y25" s="38" t="s">
        <v>43</v>
      </c>
      <c r="Z25" s="38" t="s">
        <v>43</v>
      </c>
      <c r="AA25" s="38" t="s">
        <v>43</v>
      </c>
      <c r="AB25" s="38" t="s">
        <v>43</v>
      </c>
      <c r="AC25" s="38" t="s">
        <v>43</v>
      </c>
      <c r="AD25" s="38" t="s">
        <v>43</v>
      </c>
      <c r="AE25" s="38" t="str">
        <f t="shared" si="12"/>
        <v>WO</v>
      </c>
      <c r="AF25" s="38" t="s">
        <v>43</v>
      </c>
      <c r="AG25" s="38" t="s">
        <v>43</v>
      </c>
      <c r="AH25" s="38" t="s">
        <v>42</v>
      </c>
      <c r="AI25" s="38" t="s">
        <v>43</v>
      </c>
      <c r="AJ25" s="38" t="s">
        <v>43</v>
      </c>
      <c r="AK25" s="38" t="s">
        <v>43</v>
      </c>
      <c r="AL25" s="38" t="str">
        <f t="shared" si="12"/>
        <v>WO</v>
      </c>
      <c r="AM25" s="38" t="s">
        <v>43</v>
      </c>
      <c r="AN25" s="38" t="s">
        <v>43</v>
      </c>
      <c r="AO25" s="39"/>
      <c r="AP25" s="31"/>
      <c r="AQ25" s="36"/>
      <c r="AR25" s="19">
        <v>17</v>
      </c>
      <c r="AS25" s="19">
        <v>1017</v>
      </c>
      <c r="AT25" s="19" t="str">
        <f t="shared" si="3"/>
        <v>September</v>
      </c>
      <c r="AU25" s="19" t="s">
        <v>19</v>
      </c>
      <c r="AV25" s="27">
        <f t="shared" si="4"/>
        <v>23</v>
      </c>
      <c r="AW25" s="22">
        <f t="shared" si="5"/>
        <v>1</v>
      </c>
      <c r="AX25" s="22">
        <f t="shared" si="6"/>
        <v>2</v>
      </c>
      <c r="AY25" s="22">
        <f t="shared" si="7"/>
        <v>4</v>
      </c>
      <c r="AZ25" s="22">
        <f t="shared" si="8"/>
        <v>30</v>
      </c>
      <c r="BA25" s="22">
        <f>Sep_Month[[#This Row],[Days]]-Sep_Month[[#This Row],[Absent]]</f>
        <v>29</v>
      </c>
      <c r="BB25" s="23">
        <v>42000</v>
      </c>
      <c r="BC25" s="23">
        <f>Sep_Month[[#This Row],[Salary]]/Sep_Month[[#This Row],[Days]]</f>
        <v>1400</v>
      </c>
      <c r="BD25" s="24">
        <f>Sep_Month[[#This Row],[PerDay Salary]]*Sep_Month[[#This Row],[Absent]]</f>
        <v>1400</v>
      </c>
      <c r="BE25" s="23">
        <f>Sep_Month[[#This Row],[Salary]]-Sep_Month[[#This Row],[Deduction]]</f>
        <v>40600</v>
      </c>
      <c r="BF25" s="22"/>
      <c r="BG25" s="36"/>
    </row>
    <row r="26" spans="1:59" ht="15.75" x14ac:dyDescent="0.25">
      <c r="A26"/>
      <c r="B26"/>
      <c r="C26"/>
      <c r="D26" s="29"/>
      <c r="F26" s="31"/>
      <c r="G26" s="3">
        <v>18</v>
      </c>
      <c r="H26" s="4">
        <v>1018</v>
      </c>
      <c r="I26" s="5" t="s">
        <v>20</v>
      </c>
      <c r="J26" s="37">
        <f t="shared" si="9"/>
        <v>4</v>
      </c>
      <c r="K26" s="38" t="s">
        <v>43</v>
      </c>
      <c r="L26" s="38" t="s">
        <v>43</v>
      </c>
      <c r="M26" s="38" t="s">
        <v>44</v>
      </c>
      <c r="N26" s="38" t="s">
        <v>42</v>
      </c>
      <c r="O26" s="38" t="s">
        <v>43</v>
      </c>
      <c r="P26" s="38" t="s">
        <v>43</v>
      </c>
      <c r="Q26" s="38" t="str">
        <f t="shared" si="11"/>
        <v>WO</v>
      </c>
      <c r="R26" s="38" t="s">
        <v>43</v>
      </c>
      <c r="S26" s="38" t="s">
        <v>43</v>
      </c>
      <c r="T26" s="38" t="s">
        <v>43</v>
      </c>
      <c r="U26" s="38" t="s">
        <v>43</v>
      </c>
      <c r="V26" s="38" t="s">
        <v>43</v>
      </c>
      <c r="W26" s="38" t="s">
        <v>43</v>
      </c>
      <c r="X26" s="38" t="str">
        <f t="shared" si="11"/>
        <v>WO</v>
      </c>
      <c r="Y26" s="38" t="s">
        <v>43</v>
      </c>
      <c r="Z26" s="38" t="s">
        <v>43</v>
      </c>
      <c r="AA26" s="38" t="s">
        <v>43</v>
      </c>
      <c r="AB26" s="38" t="s">
        <v>43</v>
      </c>
      <c r="AC26" s="38" t="s">
        <v>43</v>
      </c>
      <c r="AD26" s="38" t="s">
        <v>43</v>
      </c>
      <c r="AE26" s="38" t="str">
        <f t="shared" si="12"/>
        <v>WO</v>
      </c>
      <c r="AF26" s="38" t="s">
        <v>43</v>
      </c>
      <c r="AG26" s="38" t="s">
        <v>43</v>
      </c>
      <c r="AH26" s="38" t="s">
        <v>42</v>
      </c>
      <c r="AI26" s="38" t="s">
        <v>43</v>
      </c>
      <c r="AJ26" s="38" t="s">
        <v>43</v>
      </c>
      <c r="AK26" s="38" t="s">
        <v>43</v>
      </c>
      <c r="AL26" s="38" t="str">
        <f t="shared" si="12"/>
        <v>WO</v>
      </c>
      <c r="AM26" s="38" t="s">
        <v>43</v>
      </c>
      <c r="AN26" s="38" t="s">
        <v>43</v>
      </c>
      <c r="AO26" s="39"/>
      <c r="AP26" s="31"/>
      <c r="AQ26" s="36"/>
      <c r="AR26" s="19">
        <v>18</v>
      </c>
      <c r="AS26" s="19">
        <v>1018</v>
      </c>
      <c r="AT26" s="19" t="str">
        <f t="shared" si="3"/>
        <v>September</v>
      </c>
      <c r="AU26" s="19" t="s">
        <v>20</v>
      </c>
      <c r="AV26" s="27">
        <f t="shared" si="4"/>
        <v>23</v>
      </c>
      <c r="AW26" s="22">
        <f t="shared" si="5"/>
        <v>1</v>
      </c>
      <c r="AX26" s="22">
        <f t="shared" si="6"/>
        <v>2</v>
      </c>
      <c r="AY26" s="22">
        <f t="shared" si="7"/>
        <v>4</v>
      </c>
      <c r="AZ26" s="22">
        <f t="shared" si="8"/>
        <v>30</v>
      </c>
      <c r="BA26" s="22">
        <f>Sep_Month[[#This Row],[Days]]-Sep_Month[[#This Row],[Absent]]</f>
        <v>29</v>
      </c>
      <c r="BB26" s="23">
        <v>62000</v>
      </c>
      <c r="BC26" s="23">
        <f>Sep_Month[[#This Row],[Salary]]/Sep_Month[[#This Row],[Days]]</f>
        <v>2066.6666666666665</v>
      </c>
      <c r="BD26" s="24">
        <f>Sep_Month[[#This Row],[PerDay Salary]]*Sep_Month[[#This Row],[Absent]]</f>
        <v>2066.6666666666665</v>
      </c>
      <c r="BE26" s="23">
        <f>Sep_Month[[#This Row],[Salary]]-Sep_Month[[#This Row],[Deduction]]</f>
        <v>59933.333333333336</v>
      </c>
      <c r="BF26" s="22"/>
      <c r="BG26" s="36"/>
    </row>
    <row r="27" spans="1:59" ht="15.75" x14ac:dyDescent="0.25">
      <c r="A27"/>
      <c r="B27"/>
      <c r="C27"/>
      <c r="D27" s="29"/>
      <c r="F27" s="31"/>
      <c r="G27" s="3">
        <v>19</v>
      </c>
      <c r="H27" s="4">
        <v>1019</v>
      </c>
      <c r="I27" s="5" t="s">
        <v>21</v>
      </c>
      <c r="J27" s="37">
        <f t="shared" si="9"/>
        <v>4</v>
      </c>
      <c r="K27" s="38" t="s">
        <v>43</v>
      </c>
      <c r="L27" s="38" t="s">
        <v>44</v>
      </c>
      <c r="M27" s="38" t="s">
        <v>43</v>
      </c>
      <c r="N27" s="38" t="s">
        <v>42</v>
      </c>
      <c r="O27" s="38" t="s">
        <v>43</v>
      </c>
      <c r="P27" s="38" t="s">
        <v>43</v>
      </c>
      <c r="Q27" s="38" t="str">
        <f t="shared" si="11"/>
        <v>WO</v>
      </c>
      <c r="R27" s="38" t="s">
        <v>43</v>
      </c>
      <c r="S27" s="38" t="s">
        <v>43</v>
      </c>
      <c r="T27" s="38" t="s">
        <v>43</v>
      </c>
      <c r="U27" s="38" t="s">
        <v>43</v>
      </c>
      <c r="V27" s="38" t="s">
        <v>43</v>
      </c>
      <c r="W27" s="38" t="s">
        <v>43</v>
      </c>
      <c r="X27" s="38" t="str">
        <f t="shared" si="11"/>
        <v>WO</v>
      </c>
      <c r="Y27" s="38" t="s">
        <v>43</v>
      </c>
      <c r="Z27" s="38" t="s">
        <v>43</v>
      </c>
      <c r="AA27" s="38" t="s">
        <v>43</v>
      </c>
      <c r="AB27" s="38" t="s">
        <v>43</v>
      </c>
      <c r="AC27" s="38" t="s">
        <v>43</v>
      </c>
      <c r="AD27" s="38" t="s">
        <v>43</v>
      </c>
      <c r="AE27" s="38" t="str">
        <f t="shared" si="12"/>
        <v>WO</v>
      </c>
      <c r="AF27" s="38" t="s">
        <v>43</v>
      </c>
      <c r="AG27" s="38" t="s">
        <v>43</v>
      </c>
      <c r="AH27" s="38" t="s">
        <v>42</v>
      </c>
      <c r="AI27" s="38" t="s">
        <v>43</v>
      </c>
      <c r="AJ27" s="38" t="s">
        <v>43</v>
      </c>
      <c r="AK27" s="38" t="s">
        <v>43</v>
      </c>
      <c r="AL27" s="38" t="str">
        <f t="shared" si="12"/>
        <v>WO</v>
      </c>
      <c r="AM27" s="38" t="s">
        <v>44</v>
      </c>
      <c r="AN27" s="38" t="s">
        <v>43</v>
      </c>
      <c r="AO27" s="39"/>
      <c r="AP27" s="31"/>
      <c r="AQ27" s="36"/>
      <c r="AR27" s="19">
        <v>19</v>
      </c>
      <c r="AS27" s="19">
        <v>1019</v>
      </c>
      <c r="AT27" s="19" t="str">
        <f t="shared" si="3"/>
        <v>September</v>
      </c>
      <c r="AU27" s="19" t="s">
        <v>21</v>
      </c>
      <c r="AV27" s="27">
        <f t="shared" si="4"/>
        <v>22</v>
      </c>
      <c r="AW27" s="22">
        <f t="shared" si="5"/>
        <v>2</v>
      </c>
      <c r="AX27" s="22">
        <f t="shared" si="6"/>
        <v>2</v>
      </c>
      <c r="AY27" s="22">
        <f t="shared" si="7"/>
        <v>4</v>
      </c>
      <c r="AZ27" s="22">
        <f t="shared" si="8"/>
        <v>30</v>
      </c>
      <c r="BA27" s="22">
        <f>Sep_Month[[#This Row],[Days]]-Sep_Month[[#This Row],[Absent]]</f>
        <v>28</v>
      </c>
      <c r="BB27" s="23">
        <v>41000</v>
      </c>
      <c r="BC27" s="23">
        <f>Sep_Month[[#This Row],[Salary]]/Sep_Month[[#This Row],[Days]]</f>
        <v>1366.6666666666667</v>
      </c>
      <c r="BD27" s="24">
        <f>Sep_Month[[#This Row],[PerDay Salary]]*Sep_Month[[#This Row],[Absent]]</f>
        <v>2733.3333333333335</v>
      </c>
      <c r="BE27" s="23">
        <f>Sep_Month[[#This Row],[Salary]]-Sep_Month[[#This Row],[Deduction]]</f>
        <v>38266.666666666664</v>
      </c>
      <c r="BF27" s="22"/>
      <c r="BG27" s="36"/>
    </row>
    <row r="28" spans="1:59" ht="16.5" thickBot="1" x14ac:dyDescent="0.3">
      <c r="A28"/>
      <c r="B28"/>
      <c r="C28"/>
      <c r="D28" s="29"/>
      <c r="F28" s="31"/>
      <c r="G28" s="6">
        <v>20</v>
      </c>
      <c r="H28" s="7">
        <v>1020</v>
      </c>
      <c r="I28" s="8" t="s">
        <v>22</v>
      </c>
      <c r="J28" s="40">
        <f t="shared" si="9"/>
        <v>4</v>
      </c>
      <c r="K28" s="41" t="s">
        <v>44</v>
      </c>
      <c r="L28" s="41" t="s">
        <v>43</v>
      </c>
      <c r="M28" s="41" t="s">
        <v>43</v>
      </c>
      <c r="N28" s="41" t="s">
        <v>42</v>
      </c>
      <c r="O28" s="41" t="s">
        <v>43</v>
      </c>
      <c r="P28" s="41" t="s">
        <v>43</v>
      </c>
      <c r="Q28" s="41" t="str">
        <f t="shared" si="11"/>
        <v>WO</v>
      </c>
      <c r="R28" s="41" t="s">
        <v>43</v>
      </c>
      <c r="S28" s="41" t="s">
        <v>43</v>
      </c>
      <c r="T28" s="41" t="s">
        <v>43</v>
      </c>
      <c r="U28" s="41" t="s">
        <v>43</v>
      </c>
      <c r="V28" s="41" t="s">
        <v>43</v>
      </c>
      <c r="W28" s="41" t="s">
        <v>43</v>
      </c>
      <c r="X28" s="41" t="str">
        <f t="shared" si="11"/>
        <v>WO</v>
      </c>
      <c r="Y28" s="41" t="s">
        <v>43</v>
      </c>
      <c r="Z28" s="41" t="s">
        <v>43</v>
      </c>
      <c r="AA28" s="41" t="s">
        <v>43</v>
      </c>
      <c r="AB28" s="41" t="s">
        <v>43</v>
      </c>
      <c r="AC28" s="41" t="s">
        <v>43</v>
      </c>
      <c r="AD28" s="41" t="s">
        <v>43</v>
      </c>
      <c r="AE28" s="41" t="str">
        <f t="shared" si="12"/>
        <v>WO</v>
      </c>
      <c r="AF28" s="41" t="s">
        <v>43</v>
      </c>
      <c r="AG28" s="41" t="s">
        <v>43</v>
      </c>
      <c r="AH28" s="41" t="s">
        <v>42</v>
      </c>
      <c r="AI28" s="41" t="s">
        <v>43</v>
      </c>
      <c r="AJ28" s="41" t="s">
        <v>43</v>
      </c>
      <c r="AK28" s="41" t="s">
        <v>43</v>
      </c>
      <c r="AL28" s="41" t="str">
        <f t="shared" si="12"/>
        <v>WO</v>
      </c>
      <c r="AM28" s="41" t="s">
        <v>43</v>
      </c>
      <c r="AN28" s="41" t="s">
        <v>43</v>
      </c>
      <c r="AO28" s="42"/>
      <c r="AP28" s="31"/>
      <c r="AQ28" s="36"/>
      <c r="AR28" s="19">
        <v>20</v>
      </c>
      <c r="AS28" s="19">
        <v>1020</v>
      </c>
      <c r="AT28" s="19" t="str">
        <f t="shared" si="3"/>
        <v>September</v>
      </c>
      <c r="AU28" s="19" t="s">
        <v>22</v>
      </c>
      <c r="AV28" s="27">
        <f t="shared" si="4"/>
        <v>23</v>
      </c>
      <c r="AW28" s="22">
        <f t="shared" si="5"/>
        <v>1</v>
      </c>
      <c r="AX28" s="22">
        <f t="shared" si="6"/>
        <v>2</v>
      </c>
      <c r="AY28" s="22">
        <f t="shared" si="7"/>
        <v>4</v>
      </c>
      <c r="AZ28" s="22">
        <f t="shared" si="8"/>
        <v>30</v>
      </c>
      <c r="BA28" s="22">
        <f>Sep_Month[[#This Row],[Days]]-Sep_Month[[#This Row],[Absent]]</f>
        <v>29</v>
      </c>
      <c r="BB28" s="23">
        <v>30000</v>
      </c>
      <c r="BC28" s="23">
        <f>Sep_Month[[#This Row],[Salary]]/Sep_Month[[#This Row],[Days]]</f>
        <v>1000</v>
      </c>
      <c r="BD28" s="24">
        <f>Sep_Month[[#This Row],[PerDay Salary]]*Sep_Month[[#This Row],[Absent]]</f>
        <v>1000</v>
      </c>
      <c r="BE28" s="23">
        <f>Sep_Month[[#This Row],[Salary]]-Sep_Month[[#This Row],[Deduction]]</f>
        <v>29000</v>
      </c>
      <c r="BF28" s="22"/>
      <c r="BG28" s="36"/>
    </row>
    <row r="29" spans="1:59" ht="15.75" thickTop="1" x14ac:dyDescent="0.25">
      <c r="A29"/>
      <c r="B29"/>
      <c r="C29"/>
      <c r="D29" s="29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x14ac:dyDescent="0.25">
      <c r="D30" s="29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</row>
    <row r="31" spans="1:59" x14ac:dyDescent="0.25">
      <c r="D31" s="29"/>
    </row>
    <row r="32" spans="1:59" x14ac:dyDescent="0.25">
      <c r="D32" s="29"/>
    </row>
    <row r="33" spans="4:4" x14ac:dyDescent="0.25">
      <c r="D33" s="29"/>
    </row>
    <row r="34" spans="4:4" x14ac:dyDescent="0.25">
      <c r="D34" s="29"/>
    </row>
    <row r="35" spans="4:4" x14ac:dyDescent="0.25">
      <c r="D35" s="29"/>
    </row>
    <row r="36" spans="4:4" x14ac:dyDescent="0.25">
      <c r="D36" s="29"/>
    </row>
    <row r="37" spans="4:4" x14ac:dyDescent="0.25">
      <c r="D37" s="29"/>
    </row>
    <row r="38" spans="4:4" x14ac:dyDescent="0.25">
      <c r="D38" s="29"/>
    </row>
    <row r="39" spans="4:4" x14ac:dyDescent="0.25">
      <c r="D39" s="29"/>
    </row>
    <row r="40" spans="4:4" x14ac:dyDescent="0.25">
      <c r="D40" s="29"/>
    </row>
    <row r="41" spans="4:4" x14ac:dyDescent="0.25">
      <c r="D41" s="29"/>
    </row>
    <row r="42" spans="4:4" x14ac:dyDescent="0.25">
      <c r="D42" s="29"/>
    </row>
    <row r="43" spans="4:4" x14ac:dyDescent="0.25">
      <c r="D43" s="29"/>
    </row>
    <row r="44" spans="4:4" x14ac:dyDescent="0.25">
      <c r="D44" s="29"/>
    </row>
    <row r="45" spans="4:4" x14ac:dyDescent="0.25">
      <c r="D45" s="29"/>
    </row>
    <row r="46" spans="4:4" x14ac:dyDescent="0.25">
      <c r="D46" s="29"/>
    </row>
    <row r="47" spans="4:4" x14ac:dyDescent="0.25">
      <c r="D47" s="29"/>
    </row>
    <row r="48" spans="4:4" x14ac:dyDescent="0.25">
      <c r="D48" s="29"/>
    </row>
  </sheetData>
  <mergeCells count="1">
    <mergeCell ref="G7:I7"/>
  </mergeCells>
  <conditionalFormatting sqref="K9:AO28">
    <cfRule type="containsText" dxfId="95" priority="1" operator="containsText" text="L">
      <formula>NOT(ISERROR(SEARCH("L",K9)))</formula>
    </cfRule>
    <cfRule type="containsText" dxfId="94" priority="2" operator="containsText" text="A">
      <formula>NOT(ISERROR(SEARCH("A",K9)))</formula>
    </cfRule>
    <cfRule type="containsText" dxfId="93" priority="3" operator="containsText" text="P">
      <formula>NOT(ISERROR(SEARCH("P",K9)))</formula>
    </cfRule>
    <cfRule type="containsText" dxfId="92" priority="4" operator="containsText" text="WO">
      <formula>NOT(ISERROR(SEARCH("WO",K9)))</formula>
    </cfRule>
    <cfRule type="containsText" dxfId="91" priority="5" operator="containsText" text="WO">
      <formula>NOT(ISERROR(SEARCH("WO",K9)))</formula>
    </cfRule>
  </conditionalFormatting>
  <dataValidations count="1">
    <dataValidation type="list" allowBlank="1" showInputMessage="1" showErrorMessage="1" sqref="AM9:AO28 AF9:AK28 R9:W28 Y9:AD28 K9:P28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Sep!AV9:AY9</xm:f>
              <xm:sqref>BF9</xm:sqref>
            </x14:sparkline>
            <x14:sparkline>
              <xm:f>Sep!AV10:AY10</xm:f>
              <xm:sqref>BF10</xm:sqref>
            </x14:sparkline>
            <x14:sparkline>
              <xm:f>Sep!AV11:AY11</xm:f>
              <xm:sqref>BF11</xm:sqref>
            </x14:sparkline>
            <x14:sparkline>
              <xm:f>Sep!AV12:AY12</xm:f>
              <xm:sqref>BF12</xm:sqref>
            </x14:sparkline>
            <x14:sparkline>
              <xm:f>Sep!AV13:AY13</xm:f>
              <xm:sqref>BF13</xm:sqref>
            </x14:sparkline>
            <x14:sparkline>
              <xm:f>Sep!AV14:AY14</xm:f>
              <xm:sqref>BF14</xm:sqref>
            </x14:sparkline>
            <x14:sparkline>
              <xm:f>Sep!AV15:AY15</xm:f>
              <xm:sqref>BF15</xm:sqref>
            </x14:sparkline>
            <x14:sparkline>
              <xm:f>Sep!AV16:AY16</xm:f>
              <xm:sqref>BF16</xm:sqref>
            </x14:sparkline>
            <x14:sparkline>
              <xm:f>Sep!AV17:AY17</xm:f>
              <xm:sqref>BF17</xm:sqref>
            </x14:sparkline>
            <x14:sparkline>
              <xm:f>Sep!AV18:AY18</xm:f>
              <xm:sqref>BF18</xm:sqref>
            </x14:sparkline>
            <x14:sparkline>
              <xm:f>Sep!AV19:AY19</xm:f>
              <xm:sqref>BF19</xm:sqref>
            </x14:sparkline>
            <x14:sparkline>
              <xm:f>Sep!AV20:AY20</xm:f>
              <xm:sqref>BF20</xm:sqref>
            </x14:sparkline>
            <x14:sparkline>
              <xm:f>Sep!AV21:AY21</xm:f>
              <xm:sqref>BF21</xm:sqref>
            </x14:sparkline>
            <x14:sparkline>
              <xm:f>Sep!AV22:AY22</xm:f>
              <xm:sqref>BF22</xm:sqref>
            </x14:sparkline>
            <x14:sparkline>
              <xm:f>Sep!AV23:AY23</xm:f>
              <xm:sqref>BF23</xm:sqref>
            </x14:sparkline>
            <x14:sparkline>
              <xm:f>Sep!AV24:AY24</xm:f>
              <xm:sqref>BF24</xm:sqref>
            </x14:sparkline>
            <x14:sparkline>
              <xm:f>Sep!AV25:AY25</xm:f>
              <xm:sqref>BF25</xm:sqref>
            </x14:sparkline>
            <x14:sparkline>
              <xm:f>Sep!AV26:AY26</xm:f>
              <xm:sqref>BF26</xm:sqref>
            </x14:sparkline>
            <x14:sparkline>
              <xm:f>Sep!AV27:AY27</xm:f>
              <xm:sqref>BF27</xm:sqref>
            </x14:sparkline>
            <x14:sparkline>
              <xm:f>Sep!AV28:AY28</xm:f>
              <xm:sqref>BF28</xm:sqref>
            </x14:sparkline>
          </x14:sparklines>
        </x14:sparklineGroup>
      </x14:sparklineGroup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zoomScale="70" zoomScaleNormal="70" workbookViewId="0">
      <selection activeCell="I4" sqref="I4"/>
    </sheetView>
  </sheetViews>
  <sheetFormatPr defaultRowHeight="15" x14ac:dyDescent="0.25"/>
  <cols>
    <col min="1" max="3" width="9.140625" style="29"/>
    <col min="5" max="6" width="9.140625" style="29"/>
    <col min="7" max="7" width="9.140625" style="29" customWidth="1"/>
    <col min="8" max="8" width="13.140625" style="29" bestFit="1" customWidth="1"/>
    <col min="9" max="9" width="18.85546875" style="29" customWidth="1"/>
    <col min="10" max="10" width="10" style="29" bestFit="1" customWidth="1"/>
    <col min="11" max="11" width="5.7109375" style="29" customWidth="1"/>
    <col min="12" max="12" width="4.85546875" style="29" customWidth="1"/>
    <col min="13" max="13" width="4.5703125" style="29" bestFit="1" customWidth="1"/>
    <col min="14" max="14" width="4.28515625" style="29" customWidth="1"/>
    <col min="15" max="15" width="4.85546875" style="29" customWidth="1"/>
    <col min="16" max="16" width="5.5703125" style="29" customWidth="1"/>
    <col min="17" max="17" width="4.85546875" style="29" customWidth="1"/>
    <col min="18" max="18" width="5.7109375" style="29" customWidth="1"/>
    <col min="19" max="19" width="4.85546875" style="29" customWidth="1"/>
    <col min="20" max="20" width="3.7109375" style="29" customWidth="1"/>
    <col min="21" max="21" width="4.28515625" style="29" customWidth="1"/>
    <col min="22" max="22" width="4.85546875" style="29" customWidth="1"/>
    <col min="23" max="23" width="5.5703125" style="29" customWidth="1"/>
    <col min="24" max="24" width="4.85546875" style="29" customWidth="1"/>
    <col min="25" max="25" width="5.7109375" style="29" customWidth="1"/>
    <col min="26" max="26" width="4.85546875" style="29" customWidth="1"/>
    <col min="27" max="27" width="3.7109375" style="29" customWidth="1"/>
    <col min="28" max="28" width="4.28515625" style="29" customWidth="1"/>
    <col min="29" max="29" width="4.85546875" style="29" customWidth="1"/>
    <col min="30" max="30" width="5.5703125" style="29" customWidth="1"/>
    <col min="31" max="31" width="4.85546875" style="29" customWidth="1"/>
    <col min="32" max="32" width="5.7109375" style="29" customWidth="1"/>
    <col min="33" max="33" width="4.85546875" style="29" customWidth="1"/>
    <col min="34" max="34" width="4.5703125" style="29" bestFit="1" customWidth="1"/>
    <col min="35" max="35" width="4.28515625" style="29" customWidth="1"/>
    <col min="36" max="36" width="4.85546875" style="29" customWidth="1"/>
    <col min="37" max="37" width="5.5703125" style="29" customWidth="1"/>
    <col min="38" max="38" width="4.85546875" style="29" customWidth="1"/>
    <col min="39" max="39" width="5.7109375" style="29" customWidth="1"/>
    <col min="40" max="40" width="4.85546875" style="29" customWidth="1"/>
    <col min="41" max="41" width="3.7109375" style="29" customWidth="1"/>
    <col min="42" max="43" width="9.140625" style="29"/>
    <col min="44" max="44" width="7.28515625" style="29" customWidth="1"/>
    <col min="45" max="46" width="14.140625" style="29" customWidth="1"/>
    <col min="47" max="47" width="17.85546875" style="29" customWidth="1"/>
    <col min="48" max="48" width="9.85546875" style="29" customWidth="1"/>
    <col min="49" max="49" width="9.28515625" style="29" customWidth="1"/>
    <col min="50" max="50" width="9.140625" style="29"/>
    <col min="51" max="51" width="11.85546875" style="29" customWidth="1"/>
    <col min="52" max="52" width="9.140625" style="29"/>
    <col min="53" max="53" width="12" style="29" customWidth="1"/>
    <col min="54" max="54" width="12.42578125" style="29" bestFit="1" customWidth="1"/>
    <col min="55" max="55" width="15.7109375" style="29" customWidth="1"/>
    <col min="56" max="56" width="12.140625" style="29" customWidth="1"/>
    <col min="57" max="57" width="13.7109375" style="29" customWidth="1"/>
    <col min="58" max="58" width="15.5703125" style="29" bestFit="1" customWidth="1"/>
    <col min="59" max="16384" width="9.140625" style="29"/>
  </cols>
  <sheetData>
    <row r="1" spans="1:59" x14ac:dyDescent="0.25">
      <c r="A1"/>
      <c r="B1"/>
      <c r="C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25">
      <c r="A2"/>
      <c r="B2"/>
      <c r="C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25">
      <c r="A3"/>
      <c r="B3"/>
      <c r="C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25">
      <c r="A4"/>
      <c r="B4"/>
      <c r="C4"/>
      <c r="D4" s="29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/>
      <c r="B5"/>
      <c r="C5"/>
      <c r="D5" s="29"/>
      <c r="F5" s="43"/>
      <c r="G5" s="43" t="s">
        <v>27</v>
      </c>
      <c r="H5" s="44">
        <v>45931</v>
      </c>
      <c r="I5" s="43">
        <f>(DATEDIF($H$5,$L$5,"D"))+1</f>
        <v>31</v>
      </c>
      <c r="J5" s="43" t="str">
        <f>TEXT(H5,"MMMM")</f>
        <v>October</v>
      </c>
      <c r="K5" s="43" t="s">
        <v>28</v>
      </c>
      <c r="L5" s="44">
        <f>EOMONTH(H5,0)</f>
        <v>45961</v>
      </c>
      <c r="M5" s="43"/>
      <c r="BD5" s="30"/>
    </row>
    <row r="6" spans="1:59" ht="15.75" thickBot="1" x14ac:dyDescent="0.3">
      <c r="A6"/>
      <c r="B6"/>
      <c r="C6"/>
      <c r="D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16.5" thickTop="1" x14ac:dyDescent="0.25">
      <c r="A7"/>
      <c r="B7"/>
      <c r="C7"/>
      <c r="D7" s="29"/>
      <c r="F7" s="31"/>
      <c r="G7" s="56" t="s">
        <v>30</v>
      </c>
      <c r="H7" s="57"/>
      <c r="I7" s="58"/>
      <c r="J7" s="15" t="s">
        <v>29</v>
      </c>
      <c r="K7" s="16" t="str">
        <f>TEXT(K8,"DDD")</f>
        <v>Wed</v>
      </c>
      <c r="L7" s="16" t="str">
        <f t="shared" ref="L7:AO7" si="0">TEXT(L8,"DDD")</f>
        <v>Thu</v>
      </c>
      <c r="M7" s="16" t="str">
        <f t="shared" si="0"/>
        <v>Fri</v>
      </c>
      <c r="N7" s="16" t="str">
        <f t="shared" si="0"/>
        <v>Sat</v>
      </c>
      <c r="O7" s="16" t="str">
        <f t="shared" si="0"/>
        <v>Sun</v>
      </c>
      <c r="P7" s="16" t="str">
        <f t="shared" si="0"/>
        <v>Mon</v>
      </c>
      <c r="Q7" s="16" t="str">
        <f t="shared" si="0"/>
        <v>Tue</v>
      </c>
      <c r="R7" s="16" t="str">
        <f t="shared" si="0"/>
        <v>Wed</v>
      </c>
      <c r="S7" s="16" t="str">
        <f t="shared" si="0"/>
        <v>Thu</v>
      </c>
      <c r="T7" s="16" t="str">
        <f t="shared" si="0"/>
        <v>Fri</v>
      </c>
      <c r="U7" s="16" t="str">
        <f t="shared" si="0"/>
        <v>Sat</v>
      </c>
      <c r="V7" s="16" t="str">
        <f t="shared" si="0"/>
        <v>Sun</v>
      </c>
      <c r="W7" s="16" t="str">
        <f t="shared" si="0"/>
        <v>Mon</v>
      </c>
      <c r="X7" s="16" t="str">
        <f t="shared" si="0"/>
        <v>Tue</v>
      </c>
      <c r="Y7" s="16" t="str">
        <f t="shared" si="0"/>
        <v>Wed</v>
      </c>
      <c r="Z7" s="16" t="str">
        <f t="shared" si="0"/>
        <v>Thu</v>
      </c>
      <c r="AA7" s="16" t="str">
        <f t="shared" si="0"/>
        <v>Fri</v>
      </c>
      <c r="AB7" s="16" t="str">
        <f t="shared" si="0"/>
        <v>Sat</v>
      </c>
      <c r="AC7" s="16" t="str">
        <f t="shared" si="0"/>
        <v>Sun</v>
      </c>
      <c r="AD7" s="16" t="str">
        <f t="shared" si="0"/>
        <v>Mon</v>
      </c>
      <c r="AE7" s="16" t="str">
        <f t="shared" si="0"/>
        <v>Tue</v>
      </c>
      <c r="AF7" s="16" t="str">
        <f t="shared" si="0"/>
        <v>Wed</v>
      </c>
      <c r="AG7" s="16" t="str">
        <f t="shared" si="0"/>
        <v>Thu</v>
      </c>
      <c r="AH7" s="16" t="str">
        <f t="shared" si="0"/>
        <v>Fri</v>
      </c>
      <c r="AI7" s="16" t="str">
        <f t="shared" si="0"/>
        <v>Sat</v>
      </c>
      <c r="AJ7" s="16" t="str">
        <f t="shared" si="0"/>
        <v>Sun</v>
      </c>
      <c r="AK7" s="16" t="str">
        <f t="shared" si="0"/>
        <v>Mon</v>
      </c>
      <c r="AL7" s="16" t="str">
        <f t="shared" si="0"/>
        <v>Tue</v>
      </c>
      <c r="AM7" s="16" t="str">
        <f t="shared" si="0"/>
        <v>Wed</v>
      </c>
      <c r="AN7" s="16" t="str">
        <f t="shared" si="0"/>
        <v>Thu</v>
      </c>
      <c r="AO7" s="17" t="str">
        <f t="shared" si="0"/>
        <v>Fri</v>
      </c>
      <c r="AP7" s="31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/>
      <c r="B8"/>
      <c r="C8"/>
      <c r="D8" s="29"/>
      <c r="F8" s="31"/>
      <c r="G8" s="9" t="s">
        <v>23</v>
      </c>
      <c r="H8" s="10" t="s">
        <v>24</v>
      </c>
      <c r="I8" s="11" t="s">
        <v>25</v>
      </c>
      <c r="J8" s="12" t="s">
        <v>26</v>
      </c>
      <c r="K8" s="13">
        <f>H5</f>
        <v>45931</v>
      </c>
      <c r="L8" s="13">
        <f>IF(K8&lt;$L$5,K8+1,"")</f>
        <v>45932</v>
      </c>
      <c r="M8" s="13">
        <f t="shared" ref="M8:AO8" si="1">IF(L8&lt;$L$5,L8+1,"")</f>
        <v>45933</v>
      </c>
      <c r="N8" s="13">
        <f t="shared" si="1"/>
        <v>45934</v>
      </c>
      <c r="O8" s="13">
        <f t="shared" si="1"/>
        <v>45935</v>
      </c>
      <c r="P8" s="13">
        <f t="shared" si="1"/>
        <v>45936</v>
      </c>
      <c r="Q8" s="13">
        <f t="shared" si="1"/>
        <v>45937</v>
      </c>
      <c r="R8" s="13">
        <f t="shared" si="1"/>
        <v>45938</v>
      </c>
      <c r="S8" s="13">
        <f t="shared" si="1"/>
        <v>45939</v>
      </c>
      <c r="T8" s="13">
        <f t="shared" si="1"/>
        <v>45940</v>
      </c>
      <c r="U8" s="13">
        <f t="shared" si="1"/>
        <v>45941</v>
      </c>
      <c r="V8" s="13">
        <f t="shared" si="1"/>
        <v>45942</v>
      </c>
      <c r="W8" s="13">
        <f t="shared" si="1"/>
        <v>45943</v>
      </c>
      <c r="X8" s="13">
        <f t="shared" si="1"/>
        <v>45944</v>
      </c>
      <c r="Y8" s="13">
        <f t="shared" si="1"/>
        <v>45945</v>
      </c>
      <c r="Z8" s="13">
        <f t="shared" si="1"/>
        <v>45946</v>
      </c>
      <c r="AA8" s="13">
        <f t="shared" si="1"/>
        <v>45947</v>
      </c>
      <c r="AB8" s="13">
        <f t="shared" si="1"/>
        <v>45948</v>
      </c>
      <c r="AC8" s="13">
        <f t="shared" si="1"/>
        <v>45949</v>
      </c>
      <c r="AD8" s="13">
        <f t="shared" si="1"/>
        <v>45950</v>
      </c>
      <c r="AE8" s="13">
        <f t="shared" si="1"/>
        <v>45951</v>
      </c>
      <c r="AF8" s="13">
        <f t="shared" si="1"/>
        <v>45952</v>
      </c>
      <c r="AG8" s="13">
        <f t="shared" si="1"/>
        <v>45953</v>
      </c>
      <c r="AH8" s="13">
        <f t="shared" si="1"/>
        <v>45954</v>
      </c>
      <c r="AI8" s="13">
        <f t="shared" si="1"/>
        <v>45955</v>
      </c>
      <c r="AJ8" s="13">
        <f t="shared" si="1"/>
        <v>45956</v>
      </c>
      <c r="AK8" s="13">
        <f t="shared" si="1"/>
        <v>45957</v>
      </c>
      <c r="AL8" s="13">
        <f t="shared" si="1"/>
        <v>45958</v>
      </c>
      <c r="AM8" s="13">
        <f t="shared" si="1"/>
        <v>45959</v>
      </c>
      <c r="AN8" s="13">
        <f t="shared" si="1"/>
        <v>45960</v>
      </c>
      <c r="AO8" s="14">
        <f t="shared" si="1"/>
        <v>45961</v>
      </c>
      <c r="AP8" s="32"/>
      <c r="AQ8" s="35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36"/>
    </row>
    <row r="9" spans="1:59" ht="16.5" thickTop="1" x14ac:dyDescent="0.25">
      <c r="A9"/>
      <c r="B9"/>
      <c r="C9"/>
      <c r="D9" s="29"/>
      <c r="F9" s="31"/>
      <c r="G9" s="3">
        <v>1</v>
      </c>
      <c r="H9" s="4">
        <v>1001</v>
      </c>
      <c r="I9" s="5" t="s">
        <v>3</v>
      </c>
      <c r="J9" s="37">
        <f>COUNTIF($K$7:$AO$7,"Sun")</f>
        <v>4</v>
      </c>
      <c r="K9" s="38" t="s">
        <v>43</v>
      </c>
      <c r="L9" s="38" t="s">
        <v>42</v>
      </c>
      <c r="M9" s="38" t="s">
        <v>43</v>
      </c>
      <c r="N9" s="38" t="s">
        <v>43</v>
      </c>
      <c r="O9" s="38" t="str">
        <f t="shared" ref="O9:AJ17" si="2">IF(O$7="Sun","WO","")</f>
        <v>WO</v>
      </c>
      <c r="P9" s="38" t="s">
        <v>43</v>
      </c>
      <c r="Q9" s="38" t="s">
        <v>43</v>
      </c>
      <c r="R9" s="38" t="s">
        <v>43</v>
      </c>
      <c r="S9" s="38" t="s">
        <v>43</v>
      </c>
      <c r="T9" s="38" t="s">
        <v>43</v>
      </c>
      <c r="U9" s="38" t="s">
        <v>43</v>
      </c>
      <c r="V9" s="38" t="str">
        <f t="shared" si="2"/>
        <v>WO</v>
      </c>
      <c r="W9" s="38" t="s">
        <v>43</v>
      </c>
      <c r="X9" s="38" t="s">
        <v>44</v>
      </c>
      <c r="Y9" s="38" t="s">
        <v>43</v>
      </c>
      <c r="Z9" s="38" t="s">
        <v>43</v>
      </c>
      <c r="AA9" s="38" t="s">
        <v>43</v>
      </c>
      <c r="AB9" s="38" t="s">
        <v>43</v>
      </c>
      <c r="AC9" s="38" t="str">
        <f t="shared" si="2"/>
        <v>WO</v>
      </c>
      <c r="AD9" s="38" t="s">
        <v>43</v>
      </c>
      <c r="AE9" s="38" t="s">
        <v>43</v>
      </c>
      <c r="AF9" s="38" t="s">
        <v>42</v>
      </c>
      <c r="AG9" s="38" t="s">
        <v>43</v>
      </c>
      <c r="AH9" s="38" t="s">
        <v>43</v>
      </c>
      <c r="AI9" s="38" t="s">
        <v>43</v>
      </c>
      <c r="AJ9" s="38" t="str">
        <f t="shared" si="2"/>
        <v>WO</v>
      </c>
      <c r="AK9" s="38" t="s">
        <v>43</v>
      </c>
      <c r="AL9" s="38" t="s">
        <v>43</v>
      </c>
      <c r="AM9" s="38" t="s">
        <v>43</v>
      </c>
      <c r="AN9" s="38" t="s">
        <v>43</v>
      </c>
      <c r="AO9" s="39" t="s">
        <v>43</v>
      </c>
      <c r="AP9" s="31"/>
      <c r="AQ9" s="36"/>
      <c r="AR9" s="19">
        <v>1</v>
      </c>
      <c r="AS9" s="19">
        <v>1001</v>
      </c>
      <c r="AT9" s="19" t="str">
        <f t="shared" ref="AT9:AT28" si="3">$J$5</f>
        <v>October</v>
      </c>
      <c r="AU9" s="19" t="s">
        <v>3</v>
      </c>
      <c r="AV9" s="26">
        <f t="shared" ref="AV9:AV28" si="4">COUNTIF($K9:$AO9,"*P*")</f>
        <v>24</v>
      </c>
      <c r="AW9" s="20">
        <f t="shared" ref="AW9:AW28" si="5">COUNTIF($K9:$AO9,"*A*")</f>
        <v>1</v>
      </c>
      <c r="AX9" s="20">
        <f t="shared" ref="AX9:AX28" si="6">COUNTIF($K9:$AO9,"L")</f>
        <v>2</v>
      </c>
      <c r="AY9" s="20">
        <f t="shared" ref="AY9:AY28" si="7">$J$9</f>
        <v>4</v>
      </c>
      <c r="AZ9" s="20">
        <f t="shared" ref="AZ9:AZ28" si="8">$I$5</f>
        <v>31</v>
      </c>
      <c r="BA9" s="20">
        <f>Oct_Month[[#This Row],[Days]]-Oct_Month[[#This Row],[Absent]]</f>
        <v>30</v>
      </c>
      <c r="BB9" s="21">
        <v>10000</v>
      </c>
      <c r="BC9" s="21">
        <f>Oct_Month[[#This Row],[Salary]]/Oct_Month[[#This Row],[Days]]</f>
        <v>322.58064516129031</v>
      </c>
      <c r="BD9" s="24">
        <f>Oct_Month[[#This Row],[PerDay Salary]]*Oct_Month[[#This Row],[Absent]]</f>
        <v>322.58064516129031</v>
      </c>
      <c r="BE9" s="23">
        <f>Oct_Month[[#This Row],[Salary]]-Oct_Month[[#This Row],[Deduction]]</f>
        <v>9677.4193548387102</v>
      </c>
      <c r="BF9" s="22"/>
      <c r="BG9" s="36"/>
    </row>
    <row r="10" spans="1:59" ht="15.75" x14ac:dyDescent="0.25">
      <c r="A10"/>
      <c r="B10"/>
      <c r="C10"/>
      <c r="D10" s="29"/>
      <c r="F10" s="31"/>
      <c r="G10" s="3">
        <v>2</v>
      </c>
      <c r="H10" s="4">
        <v>1002</v>
      </c>
      <c r="I10" s="5" t="s">
        <v>4</v>
      </c>
      <c r="J10" s="37">
        <f t="shared" ref="J10:J28" si="9">COUNTIF($K$7:$AO$7,"Sun")</f>
        <v>4</v>
      </c>
      <c r="K10" s="38" t="s">
        <v>43</v>
      </c>
      <c r="L10" s="38" t="s">
        <v>42</v>
      </c>
      <c r="M10" s="38" t="s">
        <v>44</v>
      </c>
      <c r="N10" s="38" t="s">
        <v>43</v>
      </c>
      <c r="O10" s="38" t="str">
        <f t="shared" si="2"/>
        <v>WO</v>
      </c>
      <c r="P10" s="38" t="s">
        <v>43</v>
      </c>
      <c r="Q10" s="38" t="s">
        <v>43</v>
      </c>
      <c r="R10" s="38" t="s">
        <v>43</v>
      </c>
      <c r="S10" s="38" t="s">
        <v>43</v>
      </c>
      <c r="T10" s="38" t="s">
        <v>43</v>
      </c>
      <c r="U10" s="38" t="s">
        <v>43</v>
      </c>
      <c r="V10" s="38" t="str">
        <f t="shared" si="2"/>
        <v>WO</v>
      </c>
      <c r="W10" s="38" t="s">
        <v>43</v>
      </c>
      <c r="X10" s="38" t="s">
        <v>43</v>
      </c>
      <c r="Y10" s="38" t="s">
        <v>43</v>
      </c>
      <c r="Z10" s="38" t="s">
        <v>43</v>
      </c>
      <c r="AA10" s="38" t="s">
        <v>43</v>
      </c>
      <c r="AB10" s="38" t="s">
        <v>43</v>
      </c>
      <c r="AC10" s="38" t="str">
        <f t="shared" si="2"/>
        <v>WO</v>
      </c>
      <c r="AD10" s="38" t="s">
        <v>43</v>
      </c>
      <c r="AE10" s="38" t="s">
        <v>43</v>
      </c>
      <c r="AF10" s="38" t="s">
        <v>42</v>
      </c>
      <c r="AG10" s="38" t="s">
        <v>43</v>
      </c>
      <c r="AH10" s="38" t="s">
        <v>43</v>
      </c>
      <c r="AI10" s="38" t="s">
        <v>43</v>
      </c>
      <c r="AJ10" s="38" t="str">
        <f t="shared" si="2"/>
        <v>WO</v>
      </c>
      <c r="AK10" s="38" t="s">
        <v>43</v>
      </c>
      <c r="AL10" s="38" t="s">
        <v>43</v>
      </c>
      <c r="AM10" s="38" t="s">
        <v>43</v>
      </c>
      <c r="AN10" s="38" t="s">
        <v>43</v>
      </c>
      <c r="AO10" s="39" t="s">
        <v>43</v>
      </c>
      <c r="AP10" s="31"/>
      <c r="AQ10" s="36"/>
      <c r="AR10" s="19">
        <v>2</v>
      </c>
      <c r="AS10" s="19">
        <v>1002</v>
      </c>
      <c r="AT10" s="19" t="str">
        <f t="shared" si="3"/>
        <v>October</v>
      </c>
      <c r="AU10" s="19" t="s">
        <v>4</v>
      </c>
      <c r="AV10" s="27">
        <f t="shared" si="4"/>
        <v>24</v>
      </c>
      <c r="AW10" s="22">
        <f t="shared" si="5"/>
        <v>1</v>
      </c>
      <c r="AX10" s="22">
        <f t="shared" si="6"/>
        <v>2</v>
      </c>
      <c r="AY10" s="22">
        <f t="shared" si="7"/>
        <v>4</v>
      </c>
      <c r="AZ10" s="22">
        <f t="shared" si="8"/>
        <v>31</v>
      </c>
      <c r="BA10" s="22">
        <f>Oct_Month[[#This Row],[Days]]-Oct_Month[[#This Row],[Absent]]</f>
        <v>30</v>
      </c>
      <c r="BB10" s="23">
        <v>20000</v>
      </c>
      <c r="BC10" s="23">
        <f>Oct_Month[[#This Row],[Salary]]/Oct_Month[[#This Row],[Days]]</f>
        <v>645.16129032258061</v>
      </c>
      <c r="BD10" s="24">
        <f>Oct_Month[[#This Row],[PerDay Salary]]*Oct_Month[[#This Row],[Absent]]</f>
        <v>645.16129032258061</v>
      </c>
      <c r="BE10" s="23">
        <f>Oct_Month[[#This Row],[Salary]]-Oct_Month[[#This Row],[Deduction]]</f>
        <v>19354.83870967742</v>
      </c>
      <c r="BF10" s="22"/>
      <c r="BG10" s="36"/>
    </row>
    <row r="11" spans="1:59" ht="15.75" x14ac:dyDescent="0.25">
      <c r="A11"/>
      <c r="B11"/>
      <c r="C11"/>
      <c r="D11" s="29"/>
      <c r="F11" s="31"/>
      <c r="G11" s="3">
        <v>3</v>
      </c>
      <c r="H11" s="4">
        <v>1003</v>
      </c>
      <c r="I11" s="5" t="s">
        <v>5</v>
      </c>
      <c r="J11" s="37">
        <f t="shared" si="9"/>
        <v>4</v>
      </c>
      <c r="K11" s="38" t="s">
        <v>43</v>
      </c>
      <c r="L11" s="38" t="s">
        <v>42</v>
      </c>
      <c r="M11" s="38" t="s">
        <v>43</v>
      </c>
      <c r="N11" s="38" t="s">
        <v>43</v>
      </c>
      <c r="O11" s="38" t="str">
        <f t="shared" si="2"/>
        <v>WO</v>
      </c>
      <c r="P11" s="38" t="s">
        <v>43</v>
      </c>
      <c r="Q11" s="38" t="s">
        <v>43</v>
      </c>
      <c r="R11" s="38" t="s">
        <v>43</v>
      </c>
      <c r="S11" s="38" t="s">
        <v>43</v>
      </c>
      <c r="T11" s="38" t="s">
        <v>43</v>
      </c>
      <c r="U11" s="38" t="s">
        <v>43</v>
      </c>
      <c r="V11" s="38" t="str">
        <f t="shared" si="2"/>
        <v>WO</v>
      </c>
      <c r="W11" s="38" t="s">
        <v>43</v>
      </c>
      <c r="X11" s="38" t="s">
        <v>43</v>
      </c>
      <c r="Y11" s="38" t="s">
        <v>44</v>
      </c>
      <c r="Z11" s="38" t="s">
        <v>43</v>
      </c>
      <c r="AA11" s="38" t="s">
        <v>43</v>
      </c>
      <c r="AB11" s="38" t="s">
        <v>43</v>
      </c>
      <c r="AC11" s="38" t="str">
        <f t="shared" si="2"/>
        <v>WO</v>
      </c>
      <c r="AD11" s="38" t="s">
        <v>43</v>
      </c>
      <c r="AE11" s="38" t="s">
        <v>43</v>
      </c>
      <c r="AF11" s="38" t="s">
        <v>42</v>
      </c>
      <c r="AG11" s="38" t="s">
        <v>43</v>
      </c>
      <c r="AH11" s="38" t="s">
        <v>43</v>
      </c>
      <c r="AI11" s="38" t="s">
        <v>43</v>
      </c>
      <c r="AJ11" s="38" t="str">
        <f t="shared" si="2"/>
        <v>WO</v>
      </c>
      <c r="AK11" s="38" t="s">
        <v>43</v>
      </c>
      <c r="AL11" s="38" t="s">
        <v>43</v>
      </c>
      <c r="AM11" s="38" t="s">
        <v>43</v>
      </c>
      <c r="AN11" s="38" t="s">
        <v>43</v>
      </c>
      <c r="AO11" s="39" t="s">
        <v>43</v>
      </c>
      <c r="AP11" s="31"/>
      <c r="AQ11" s="36"/>
      <c r="AR11" s="19">
        <v>3</v>
      </c>
      <c r="AS11" s="19">
        <v>1003</v>
      </c>
      <c r="AT11" s="19" t="str">
        <f t="shared" si="3"/>
        <v>October</v>
      </c>
      <c r="AU11" s="19" t="s">
        <v>5</v>
      </c>
      <c r="AV11" s="27">
        <f t="shared" si="4"/>
        <v>24</v>
      </c>
      <c r="AW11" s="22">
        <f t="shared" si="5"/>
        <v>1</v>
      </c>
      <c r="AX11" s="22">
        <f t="shared" si="6"/>
        <v>2</v>
      </c>
      <c r="AY11" s="22">
        <f t="shared" si="7"/>
        <v>4</v>
      </c>
      <c r="AZ11" s="22">
        <f t="shared" si="8"/>
        <v>31</v>
      </c>
      <c r="BA11" s="22">
        <f>Oct_Month[[#This Row],[Days]]-Oct_Month[[#This Row],[Absent]]</f>
        <v>30</v>
      </c>
      <c r="BB11" s="23">
        <v>25000</v>
      </c>
      <c r="BC11" s="23">
        <f>Oct_Month[[#This Row],[Salary]]/Oct_Month[[#This Row],[Days]]</f>
        <v>806.45161290322585</v>
      </c>
      <c r="BD11" s="24">
        <f>Oct_Month[[#This Row],[PerDay Salary]]*Oct_Month[[#This Row],[Absent]]</f>
        <v>806.45161290322585</v>
      </c>
      <c r="BE11" s="23">
        <f>Oct_Month[[#This Row],[Salary]]-Oct_Month[[#This Row],[Deduction]]</f>
        <v>24193.548387096773</v>
      </c>
      <c r="BF11" s="22"/>
      <c r="BG11" s="36"/>
    </row>
    <row r="12" spans="1:59" ht="15.75" x14ac:dyDescent="0.25">
      <c r="A12"/>
      <c r="B12"/>
      <c r="C12"/>
      <c r="D12" s="29"/>
      <c r="F12" s="31"/>
      <c r="G12" s="3">
        <v>4</v>
      </c>
      <c r="H12" s="4">
        <v>1004</v>
      </c>
      <c r="I12" s="5" t="s">
        <v>6</v>
      </c>
      <c r="J12" s="37">
        <f t="shared" si="9"/>
        <v>4</v>
      </c>
      <c r="K12" s="38" t="s">
        <v>43</v>
      </c>
      <c r="L12" s="38" t="s">
        <v>42</v>
      </c>
      <c r="M12" s="38" t="s">
        <v>43</v>
      </c>
      <c r="N12" s="38" t="s">
        <v>43</v>
      </c>
      <c r="O12" s="38" t="str">
        <f t="shared" si="2"/>
        <v>WO</v>
      </c>
      <c r="P12" s="38" t="s">
        <v>43</v>
      </c>
      <c r="Q12" s="38" t="s">
        <v>43</v>
      </c>
      <c r="R12" s="38" t="s">
        <v>43</v>
      </c>
      <c r="S12" s="38" t="s">
        <v>43</v>
      </c>
      <c r="T12" s="38" t="s">
        <v>43</v>
      </c>
      <c r="U12" s="38" t="s">
        <v>43</v>
      </c>
      <c r="V12" s="38" t="str">
        <f t="shared" si="2"/>
        <v>WO</v>
      </c>
      <c r="W12" s="38" t="s">
        <v>43</v>
      </c>
      <c r="X12" s="38" t="s">
        <v>43</v>
      </c>
      <c r="Y12" s="38" t="s">
        <v>43</v>
      </c>
      <c r="Z12" s="38" t="s">
        <v>43</v>
      </c>
      <c r="AA12" s="38" t="s">
        <v>43</v>
      </c>
      <c r="AB12" s="38" t="s">
        <v>44</v>
      </c>
      <c r="AC12" s="38" t="str">
        <f t="shared" si="2"/>
        <v>WO</v>
      </c>
      <c r="AD12" s="38" t="s">
        <v>43</v>
      </c>
      <c r="AE12" s="38" t="s">
        <v>43</v>
      </c>
      <c r="AF12" s="38" t="s">
        <v>42</v>
      </c>
      <c r="AG12" s="38" t="s">
        <v>43</v>
      </c>
      <c r="AH12" s="38" t="s">
        <v>43</v>
      </c>
      <c r="AI12" s="38" t="s">
        <v>43</v>
      </c>
      <c r="AJ12" s="38" t="str">
        <f t="shared" si="2"/>
        <v>WO</v>
      </c>
      <c r="AK12" s="38" t="s">
        <v>43</v>
      </c>
      <c r="AL12" s="38" t="s">
        <v>43</v>
      </c>
      <c r="AM12" s="38" t="s">
        <v>43</v>
      </c>
      <c r="AN12" s="38" t="s">
        <v>44</v>
      </c>
      <c r="AO12" s="39" t="s">
        <v>43</v>
      </c>
      <c r="AP12" s="31"/>
      <c r="AQ12" s="36"/>
      <c r="AR12" s="19">
        <v>4</v>
      </c>
      <c r="AS12" s="19">
        <v>1004</v>
      </c>
      <c r="AT12" s="19" t="str">
        <f t="shared" si="3"/>
        <v>October</v>
      </c>
      <c r="AU12" s="19" t="s">
        <v>6</v>
      </c>
      <c r="AV12" s="27">
        <f t="shared" si="4"/>
        <v>23</v>
      </c>
      <c r="AW12" s="22">
        <f t="shared" si="5"/>
        <v>2</v>
      </c>
      <c r="AX12" s="22">
        <f t="shared" si="6"/>
        <v>2</v>
      </c>
      <c r="AY12" s="22">
        <f t="shared" si="7"/>
        <v>4</v>
      </c>
      <c r="AZ12" s="22">
        <f t="shared" si="8"/>
        <v>31</v>
      </c>
      <c r="BA12" s="22">
        <f>Oct_Month[[#This Row],[Days]]-Oct_Month[[#This Row],[Absent]]</f>
        <v>29</v>
      </c>
      <c r="BB12" s="23">
        <v>30000</v>
      </c>
      <c r="BC12" s="23">
        <f>Oct_Month[[#This Row],[Salary]]/Oct_Month[[#This Row],[Days]]</f>
        <v>967.74193548387098</v>
      </c>
      <c r="BD12" s="24">
        <f>Oct_Month[[#This Row],[PerDay Salary]]*Oct_Month[[#This Row],[Absent]]</f>
        <v>1935.483870967742</v>
      </c>
      <c r="BE12" s="23">
        <f>Oct_Month[[#This Row],[Salary]]-Oct_Month[[#This Row],[Deduction]]</f>
        <v>28064.516129032258</v>
      </c>
      <c r="BF12" s="22"/>
      <c r="BG12" s="36"/>
    </row>
    <row r="13" spans="1:59" ht="15.75" x14ac:dyDescent="0.25">
      <c r="A13"/>
      <c r="B13"/>
      <c r="C13"/>
      <c r="D13" s="29"/>
      <c r="F13" s="31"/>
      <c r="G13" s="3">
        <v>5</v>
      </c>
      <c r="H13" s="4">
        <v>1005</v>
      </c>
      <c r="I13" s="5" t="s">
        <v>7</v>
      </c>
      <c r="J13" s="37">
        <f t="shared" si="9"/>
        <v>4</v>
      </c>
      <c r="K13" s="38" t="s">
        <v>43</v>
      </c>
      <c r="L13" s="38" t="s">
        <v>42</v>
      </c>
      <c r="M13" s="38" t="s">
        <v>43</v>
      </c>
      <c r="N13" s="38" t="s">
        <v>43</v>
      </c>
      <c r="O13" s="38" t="str">
        <f t="shared" si="2"/>
        <v>WO</v>
      </c>
      <c r="P13" s="38" t="s">
        <v>43</v>
      </c>
      <c r="Q13" s="38" t="s">
        <v>43</v>
      </c>
      <c r="R13" s="38" t="s">
        <v>44</v>
      </c>
      <c r="S13" s="38" t="s">
        <v>43</v>
      </c>
      <c r="T13" s="38" t="s">
        <v>43</v>
      </c>
      <c r="U13" s="38" t="s">
        <v>43</v>
      </c>
      <c r="V13" s="38" t="str">
        <f t="shared" si="2"/>
        <v>WO</v>
      </c>
      <c r="W13" s="38" t="s">
        <v>43</v>
      </c>
      <c r="X13" s="38" t="s">
        <v>43</v>
      </c>
      <c r="Y13" s="38" t="s">
        <v>43</v>
      </c>
      <c r="Z13" s="38" t="s">
        <v>43</v>
      </c>
      <c r="AA13" s="38" t="s">
        <v>43</v>
      </c>
      <c r="AB13" s="38" t="s">
        <v>43</v>
      </c>
      <c r="AC13" s="38" t="str">
        <f t="shared" si="2"/>
        <v>WO</v>
      </c>
      <c r="AD13" s="38" t="s">
        <v>43</v>
      </c>
      <c r="AE13" s="38" t="s">
        <v>43</v>
      </c>
      <c r="AF13" s="38" t="s">
        <v>42</v>
      </c>
      <c r="AG13" s="38" t="s">
        <v>43</v>
      </c>
      <c r="AH13" s="38" t="s">
        <v>43</v>
      </c>
      <c r="AI13" s="38" t="s">
        <v>43</v>
      </c>
      <c r="AJ13" s="38" t="str">
        <f t="shared" si="2"/>
        <v>WO</v>
      </c>
      <c r="AK13" s="38" t="s">
        <v>43</v>
      </c>
      <c r="AL13" s="38" t="s">
        <v>43</v>
      </c>
      <c r="AM13" s="38" t="s">
        <v>43</v>
      </c>
      <c r="AN13" s="38" t="s">
        <v>43</v>
      </c>
      <c r="AO13" s="39" t="s">
        <v>43</v>
      </c>
      <c r="AP13" s="31"/>
      <c r="AQ13" s="36"/>
      <c r="AR13" s="19">
        <v>5</v>
      </c>
      <c r="AS13" s="19">
        <v>1005</v>
      </c>
      <c r="AT13" s="19" t="str">
        <f t="shared" si="3"/>
        <v>October</v>
      </c>
      <c r="AU13" s="19" t="s">
        <v>7</v>
      </c>
      <c r="AV13" s="27">
        <f t="shared" si="4"/>
        <v>24</v>
      </c>
      <c r="AW13" s="22">
        <f t="shared" si="5"/>
        <v>1</v>
      </c>
      <c r="AX13" s="22">
        <f t="shared" si="6"/>
        <v>2</v>
      </c>
      <c r="AY13" s="22">
        <f t="shared" si="7"/>
        <v>4</v>
      </c>
      <c r="AZ13" s="22">
        <f t="shared" si="8"/>
        <v>31</v>
      </c>
      <c r="BA13" s="22">
        <f>Oct_Month[[#This Row],[Days]]-Oct_Month[[#This Row],[Absent]]</f>
        <v>30</v>
      </c>
      <c r="BB13" s="23">
        <v>45000</v>
      </c>
      <c r="BC13" s="23">
        <f>Oct_Month[[#This Row],[Salary]]/Oct_Month[[#This Row],[Days]]</f>
        <v>1451.6129032258063</v>
      </c>
      <c r="BD13" s="24">
        <f>Oct_Month[[#This Row],[PerDay Salary]]*Oct_Month[[#This Row],[Absent]]</f>
        <v>1451.6129032258063</v>
      </c>
      <c r="BE13" s="23">
        <f>Oct_Month[[#This Row],[Salary]]-Oct_Month[[#This Row],[Deduction]]</f>
        <v>43548.387096774197</v>
      </c>
      <c r="BF13" s="22"/>
      <c r="BG13" s="36"/>
    </row>
    <row r="14" spans="1:59" ht="15.75" x14ac:dyDescent="0.25">
      <c r="A14"/>
      <c r="B14"/>
      <c r="C14"/>
      <c r="D14" s="29"/>
      <c r="F14" s="31"/>
      <c r="G14" s="3">
        <v>6</v>
      </c>
      <c r="H14" s="4">
        <v>1006</v>
      </c>
      <c r="I14" s="5" t="s">
        <v>8</v>
      </c>
      <c r="J14" s="37">
        <f t="shared" si="9"/>
        <v>4</v>
      </c>
      <c r="K14" s="38" t="s">
        <v>43</v>
      </c>
      <c r="L14" s="38" t="s">
        <v>42</v>
      </c>
      <c r="M14" s="38" t="s">
        <v>43</v>
      </c>
      <c r="N14" s="38" t="s">
        <v>44</v>
      </c>
      <c r="O14" s="38" t="str">
        <f t="shared" si="2"/>
        <v>WO</v>
      </c>
      <c r="P14" s="38" t="s">
        <v>43</v>
      </c>
      <c r="Q14" s="38" t="s">
        <v>43</v>
      </c>
      <c r="R14" s="38" t="s">
        <v>43</v>
      </c>
      <c r="S14" s="38" t="s">
        <v>43</v>
      </c>
      <c r="T14" s="38" t="s">
        <v>43</v>
      </c>
      <c r="U14" s="38" t="s">
        <v>43</v>
      </c>
      <c r="V14" s="38" t="str">
        <f t="shared" si="2"/>
        <v>WO</v>
      </c>
      <c r="W14" s="38" t="s">
        <v>43</v>
      </c>
      <c r="X14" s="38" t="s">
        <v>43</v>
      </c>
      <c r="Y14" s="38" t="s">
        <v>43</v>
      </c>
      <c r="Z14" s="38" t="s">
        <v>43</v>
      </c>
      <c r="AA14" s="38" t="s">
        <v>43</v>
      </c>
      <c r="AB14" s="38" t="s">
        <v>43</v>
      </c>
      <c r="AC14" s="38" t="str">
        <f t="shared" si="2"/>
        <v>WO</v>
      </c>
      <c r="AD14" s="38" t="s">
        <v>43</v>
      </c>
      <c r="AE14" s="38" t="s">
        <v>43</v>
      </c>
      <c r="AF14" s="38" t="s">
        <v>42</v>
      </c>
      <c r="AG14" s="38" t="s">
        <v>43</v>
      </c>
      <c r="AH14" s="38" t="s">
        <v>43</v>
      </c>
      <c r="AI14" s="38" t="s">
        <v>43</v>
      </c>
      <c r="AJ14" s="38" t="str">
        <f t="shared" si="2"/>
        <v>WO</v>
      </c>
      <c r="AK14" s="38" t="s">
        <v>43</v>
      </c>
      <c r="AL14" s="38" t="s">
        <v>43</v>
      </c>
      <c r="AM14" s="38" t="s">
        <v>43</v>
      </c>
      <c r="AN14" s="38" t="s">
        <v>43</v>
      </c>
      <c r="AO14" s="39" t="s">
        <v>43</v>
      </c>
      <c r="AP14" s="31"/>
      <c r="AQ14" s="36"/>
      <c r="AR14" s="19">
        <v>6</v>
      </c>
      <c r="AS14" s="19">
        <v>1006</v>
      </c>
      <c r="AT14" s="19" t="str">
        <f t="shared" si="3"/>
        <v>October</v>
      </c>
      <c r="AU14" s="19" t="s">
        <v>8</v>
      </c>
      <c r="AV14" s="27">
        <f t="shared" si="4"/>
        <v>24</v>
      </c>
      <c r="AW14" s="22">
        <f t="shared" si="5"/>
        <v>1</v>
      </c>
      <c r="AX14" s="22">
        <f t="shared" si="6"/>
        <v>2</v>
      </c>
      <c r="AY14" s="22">
        <f t="shared" si="7"/>
        <v>4</v>
      </c>
      <c r="AZ14" s="22">
        <f t="shared" si="8"/>
        <v>31</v>
      </c>
      <c r="BA14" s="22">
        <f>Oct_Month[[#This Row],[Days]]-Oct_Month[[#This Row],[Absent]]</f>
        <v>30</v>
      </c>
      <c r="BB14" s="23">
        <v>15000</v>
      </c>
      <c r="BC14" s="23">
        <f>Oct_Month[[#This Row],[Salary]]/Oct_Month[[#This Row],[Days]]</f>
        <v>483.87096774193549</v>
      </c>
      <c r="BD14" s="24">
        <f>Oct_Month[[#This Row],[PerDay Salary]]*Oct_Month[[#This Row],[Absent]]</f>
        <v>483.87096774193549</v>
      </c>
      <c r="BE14" s="23">
        <f>Oct_Month[[#This Row],[Salary]]-Oct_Month[[#This Row],[Deduction]]</f>
        <v>14516.129032258064</v>
      </c>
      <c r="BF14" s="22"/>
      <c r="BG14" s="36"/>
    </row>
    <row r="15" spans="1:59" ht="15.75" x14ac:dyDescent="0.25">
      <c r="A15"/>
      <c r="B15"/>
      <c r="C15"/>
      <c r="D15" s="29"/>
      <c r="F15" s="31"/>
      <c r="G15" s="3">
        <v>7</v>
      </c>
      <c r="H15" s="4">
        <v>1007</v>
      </c>
      <c r="I15" s="5" t="s">
        <v>9</v>
      </c>
      <c r="J15" s="37">
        <f t="shared" si="9"/>
        <v>4</v>
      </c>
      <c r="K15" s="38" t="s">
        <v>43</v>
      </c>
      <c r="L15" s="38" t="s">
        <v>42</v>
      </c>
      <c r="M15" s="38" t="s">
        <v>43</v>
      </c>
      <c r="N15" s="38" t="s">
        <v>43</v>
      </c>
      <c r="O15" s="38" t="str">
        <f t="shared" si="2"/>
        <v>WO</v>
      </c>
      <c r="P15" s="38" t="s">
        <v>43</v>
      </c>
      <c r="Q15" s="38" t="s">
        <v>44</v>
      </c>
      <c r="R15" s="38" t="s">
        <v>43</v>
      </c>
      <c r="S15" s="38" t="s">
        <v>43</v>
      </c>
      <c r="T15" s="38" t="s">
        <v>43</v>
      </c>
      <c r="U15" s="38" t="s">
        <v>43</v>
      </c>
      <c r="V15" s="38" t="str">
        <f t="shared" si="2"/>
        <v>WO</v>
      </c>
      <c r="W15" s="38" t="s">
        <v>43</v>
      </c>
      <c r="X15" s="38" t="s">
        <v>43</v>
      </c>
      <c r="Y15" s="38" t="s">
        <v>43</v>
      </c>
      <c r="Z15" s="38" t="s">
        <v>43</v>
      </c>
      <c r="AA15" s="38" t="s">
        <v>43</v>
      </c>
      <c r="AB15" s="38" t="s">
        <v>43</v>
      </c>
      <c r="AC15" s="38" t="str">
        <f t="shared" si="2"/>
        <v>WO</v>
      </c>
      <c r="AD15" s="38" t="s">
        <v>43</v>
      </c>
      <c r="AE15" s="38" t="s">
        <v>43</v>
      </c>
      <c r="AF15" s="38" t="s">
        <v>42</v>
      </c>
      <c r="AG15" s="38" t="s">
        <v>43</v>
      </c>
      <c r="AH15" s="38" t="s">
        <v>43</v>
      </c>
      <c r="AI15" s="38" t="s">
        <v>43</v>
      </c>
      <c r="AJ15" s="38" t="str">
        <f t="shared" si="2"/>
        <v>WO</v>
      </c>
      <c r="AK15" s="38" t="s">
        <v>43</v>
      </c>
      <c r="AL15" s="38" t="s">
        <v>43</v>
      </c>
      <c r="AM15" s="38" t="s">
        <v>43</v>
      </c>
      <c r="AN15" s="38" t="s">
        <v>43</v>
      </c>
      <c r="AO15" s="39" t="s">
        <v>43</v>
      </c>
      <c r="AP15" s="31"/>
      <c r="AQ15" s="36"/>
      <c r="AR15" s="19">
        <v>7</v>
      </c>
      <c r="AS15" s="19">
        <v>1007</v>
      </c>
      <c r="AT15" s="19" t="str">
        <f t="shared" si="3"/>
        <v>October</v>
      </c>
      <c r="AU15" s="19" t="s">
        <v>9</v>
      </c>
      <c r="AV15" s="27">
        <f t="shared" si="4"/>
        <v>24</v>
      </c>
      <c r="AW15" s="22">
        <f t="shared" si="5"/>
        <v>1</v>
      </c>
      <c r="AX15" s="22">
        <f t="shared" si="6"/>
        <v>2</v>
      </c>
      <c r="AY15" s="22">
        <f t="shared" si="7"/>
        <v>4</v>
      </c>
      <c r="AZ15" s="22">
        <f t="shared" si="8"/>
        <v>31</v>
      </c>
      <c r="BA15" s="22">
        <f>Oct_Month[[#This Row],[Days]]-Oct_Month[[#This Row],[Absent]]</f>
        <v>30</v>
      </c>
      <c r="BB15" s="23">
        <v>62000</v>
      </c>
      <c r="BC15" s="23">
        <f>Oct_Month[[#This Row],[Salary]]/Oct_Month[[#This Row],[Days]]</f>
        <v>2000</v>
      </c>
      <c r="BD15" s="24">
        <f>Oct_Month[[#This Row],[PerDay Salary]]*Oct_Month[[#This Row],[Absent]]</f>
        <v>2000</v>
      </c>
      <c r="BE15" s="23">
        <f>Oct_Month[[#This Row],[Salary]]-Oct_Month[[#This Row],[Deduction]]</f>
        <v>60000</v>
      </c>
      <c r="BF15" s="22"/>
      <c r="BG15" s="36"/>
    </row>
    <row r="16" spans="1:59" ht="15.75" x14ac:dyDescent="0.25">
      <c r="A16"/>
      <c r="B16"/>
      <c r="C16"/>
      <c r="D16" s="29"/>
      <c r="F16" s="31"/>
      <c r="G16" s="3">
        <v>8</v>
      </c>
      <c r="H16" s="4">
        <v>1008</v>
      </c>
      <c r="I16" s="5" t="s">
        <v>10</v>
      </c>
      <c r="J16" s="37">
        <f t="shared" si="9"/>
        <v>4</v>
      </c>
      <c r="K16" s="38" t="s">
        <v>43</v>
      </c>
      <c r="L16" s="38" t="s">
        <v>42</v>
      </c>
      <c r="M16" s="38" t="s">
        <v>43</v>
      </c>
      <c r="N16" s="38" t="s">
        <v>43</v>
      </c>
      <c r="O16" s="38" t="str">
        <f t="shared" si="2"/>
        <v>WO</v>
      </c>
      <c r="P16" s="38" t="s">
        <v>43</v>
      </c>
      <c r="Q16" s="38" t="s">
        <v>43</v>
      </c>
      <c r="R16" s="38" t="s">
        <v>43</v>
      </c>
      <c r="S16" s="38" t="s">
        <v>43</v>
      </c>
      <c r="T16" s="38" t="s">
        <v>43</v>
      </c>
      <c r="U16" s="38" t="s">
        <v>44</v>
      </c>
      <c r="V16" s="38" t="str">
        <f t="shared" si="2"/>
        <v>WO</v>
      </c>
      <c r="W16" s="38" t="s">
        <v>43</v>
      </c>
      <c r="X16" s="38" t="s">
        <v>43</v>
      </c>
      <c r="Y16" s="38" t="s">
        <v>43</v>
      </c>
      <c r="Z16" s="38" t="s">
        <v>43</v>
      </c>
      <c r="AA16" s="38" t="s">
        <v>43</v>
      </c>
      <c r="AB16" s="38" t="s">
        <v>43</v>
      </c>
      <c r="AC16" s="38" t="str">
        <f t="shared" si="2"/>
        <v>WO</v>
      </c>
      <c r="AD16" s="38" t="s">
        <v>43</v>
      </c>
      <c r="AE16" s="38" t="s">
        <v>43</v>
      </c>
      <c r="AF16" s="38" t="s">
        <v>42</v>
      </c>
      <c r="AG16" s="38" t="s">
        <v>43</v>
      </c>
      <c r="AH16" s="38" t="s">
        <v>43</v>
      </c>
      <c r="AI16" s="38" t="s">
        <v>43</v>
      </c>
      <c r="AJ16" s="38" t="str">
        <f t="shared" si="2"/>
        <v>WO</v>
      </c>
      <c r="AK16" s="38" t="s">
        <v>43</v>
      </c>
      <c r="AL16" s="38" t="s">
        <v>43</v>
      </c>
      <c r="AM16" s="38" t="s">
        <v>43</v>
      </c>
      <c r="AN16" s="38" t="s">
        <v>43</v>
      </c>
      <c r="AO16" s="39" t="s">
        <v>43</v>
      </c>
      <c r="AP16" s="31"/>
      <c r="AQ16" s="36"/>
      <c r="AR16" s="19">
        <v>8</v>
      </c>
      <c r="AS16" s="19">
        <v>1008</v>
      </c>
      <c r="AT16" s="19" t="str">
        <f t="shared" si="3"/>
        <v>October</v>
      </c>
      <c r="AU16" s="19" t="s">
        <v>10</v>
      </c>
      <c r="AV16" s="27">
        <f t="shared" si="4"/>
        <v>24</v>
      </c>
      <c r="AW16" s="22">
        <f t="shared" si="5"/>
        <v>1</v>
      </c>
      <c r="AX16" s="22">
        <f t="shared" si="6"/>
        <v>2</v>
      </c>
      <c r="AY16" s="22">
        <f t="shared" si="7"/>
        <v>4</v>
      </c>
      <c r="AZ16" s="22">
        <f t="shared" si="8"/>
        <v>31</v>
      </c>
      <c r="BA16" s="22">
        <f>Oct_Month[[#This Row],[Days]]-Oct_Month[[#This Row],[Absent]]</f>
        <v>30</v>
      </c>
      <c r="BB16" s="23">
        <v>50000</v>
      </c>
      <c r="BC16" s="23">
        <f>Oct_Month[[#This Row],[Salary]]/Oct_Month[[#This Row],[Days]]</f>
        <v>1612.9032258064517</v>
      </c>
      <c r="BD16" s="24">
        <f>Oct_Month[[#This Row],[PerDay Salary]]*Oct_Month[[#This Row],[Absent]]</f>
        <v>1612.9032258064517</v>
      </c>
      <c r="BE16" s="23">
        <f>Oct_Month[[#This Row],[Salary]]-Oct_Month[[#This Row],[Deduction]]</f>
        <v>48387.096774193546</v>
      </c>
      <c r="BF16" s="22"/>
      <c r="BG16" s="36"/>
    </row>
    <row r="17" spans="1:59" ht="15.75" x14ac:dyDescent="0.25">
      <c r="A17"/>
      <c r="B17"/>
      <c r="C17"/>
      <c r="D17" s="29"/>
      <c r="F17" s="31"/>
      <c r="G17" s="3">
        <v>9</v>
      </c>
      <c r="H17" s="4">
        <v>1009</v>
      </c>
      <c r="I17" s="5" t="s">
        <v>11</v>
      </c>
      <c r="J17" s="37">
        <f t="shared" si="9"/>
        <v>4</v>
      </c>
      <c r="K17" s="38" t="s">
        <v>43</v>
      </c>
      <c r="L17" s="38" t="s">
        <v>42</v>
      </c>
      <c r="M17" s="38" t="s">
        <v>43</v>
      </c>
      <c r="N17" s="38" t="s">
        <v>43</v>
      </c>
      <c r="O17" s="38" t="str">
        <f t="shared" si="2"/>
        <v>WO</v>
      </c>
      <c r="P17" s="38" t="s">
        <v>43</v>
      </c>
      <c r="Q17" s="38" t="s">
        <v>43</v>
      </c>
      <c r="R17" s="38" t="s">
        <v>43</v>
      </c>
      <c r="S17" s="38" t="s">
        <v>43</v>
      </c>
      <c r="T17" s="38" t="s">
        <v>43</v>
      </c>
      <c r="U17" s="38" t="s">
        <v>43</v>
      </c>
      <c r="V17" s="38" t="str">
        <f t="shared" si="2"/>
        <v>WO</v>
      </c>
      <c r="W17" s="38" t="s">
        <v>43</v>
      </c>
      <c r="X17" s="38" t="s">
        <v>43</v>
      </c>
      <c r="Y17" s="38" t="s">
        <v>43</v>
      </c>
      <c r="Z17" s="38" t="s">
        <v>43</v>
      </c>
      <c r="AA17" s="38" t="s">
        <v>43</v>
      </c>
      <c r="AB17" s="38" t="s">
        <v>43</v>
      </c>
      <c r="AC17" s="38" t="str">
        <f t="shared" si="2"/>
        <v>WO</v>
      </c>
      <c r="AD17" s="38" t="s">
        <v>43</v>
      </c>
      <c r="AE17" s="38" t="s">
        <v>43</v>
      </c>
      <c r="AF17" s="38" t="s">
        <v>42</v>
      </c>
      <c r="AG17" s="38" t="s">
        <v>43</v>
      </c>
      <c r="AH17" s="38" t="s">
        <v>43</v>
      </c>
      <c r="AI17" s="38" t="s">
        <v>44</v>
      </c>
      <c r="AJ17" s="38" t="str">
        <f t="shared" ref="AJ17" si="10">IF(AJ$7="Sun","WO","")</f>
        <v>WO</v>
      </c>
      <c r="AK17" s="38" t="s">
        <v>43</v>
      </c>
      <c r="AL17" s="38" t="s">
        <v>43</v>
      </c>
      <c r="AM17" s="38" t="s">
        <v>43</v>
      </c>
      <c r="AN17" s="38" t="s">
        <v>43</v>
      </c>
      <c r="AO17" s="39" t="s">
        <v>43</v>
      </c>
      <c r="AP17" s="31"/>
      <c r="AQ17" s="36"/>
      <c r="AR17" s="19">
        <v>9</v>
      </c>
      <c r="AS17" s="19">
        <v>1009</v>
      </c>
      <c r="AT17" s="19" t="str">
        <f t="shared" si="3"/>
        <v>October</v>
      </c>
      <c r="AU17" s="19" t="s">
        <v>11</v>
      </c>
      <c r="AV17" s="27">
        <f t="shared" si="4"/>
        <v>24</v>
      </c>
      <c r="AW17" s="22">
        <f t="shared" si="5"/>
        <v>1</v>
      </c>
      <c r="AX17" s="22">
        <f t="shared" si="6"/>
        <v>2</v>
      </c>
      <c r="AY17" s="22">
        <f t="shared" si="7"/>
        <v>4</v>
      </c>
      <c r="AZ17" s="22">
        <f t="shared" si="8"/>
        <v>31</v>
      </c>
      <c r="BA17" s="22">
        <f>Oct_Month[[#This Row],[Days]]-Oct_Month[[#This Row],[Absent]]</f>
        <v>30</v>
      </c>
      <c r="BB17" s="23">
        <v>25000</v>
      </c>
      <c r="BC17" s="23">
        <f>Oct_Month[[#This Row],[Salary]]/Oct_Month[[#This Row],[Days]]</f>
        <v>806.45161290322585</v>
      </c>
      <c r="BD17" s="24">
        <f>Oct_Month[[#This Row],[PerDay Salary]]*Oct_Month[[#This Row],[Absent]]</f>
        <v>806.45161290322585</v>
      </c>
      <c r="BE17" s="23">
        <f>Oct_Month[[#This Row],[Salary]]-Oct_Month[[#This Row],[Deduction]]</f>
        <v>24193.548387096773</v>
      </c>
      <c r="BF17" s="22"/>
      <c r="BG17" s="36"/>
    </row>
    <row r="18" spans="1:59" ht="15.75" x14ac:dyDescent="0.25">
      <c r="A18"/>
      <c r="B18"/>
      <c r="C18"/>
      <c r="D18" s="29"/>
      <c r="F18" s="31"/>
      <c r="G18" s="3">
        <v>10</v>
      </c>
      <c r="H18" s="4">
        <v>1010</v>
      </c>
      <c r="I18" s="5" t="s">
        <v>12</v>
      </c>
      <c r="J18" s="37">
        <f t="shared" si="9"/>
        <v>4</v>
      </c>
      <c r="K18" s="38" t="s">
        <v>43</v>
      </c>
      <c r="L18" s="38" t="s">
        <v>42</v>
      </c>
      <c r="M18" s="38" t="s">
        <v>43</v>
      </c>
      <c r="N18" s="38" t="s">
        <v>43</v>
      </c>
      <c r="O18" s="38" t="str">
        <f t="shared" ref="O18:V28" si="11">IF(O$7="Sun","WO","")</f>
        <v>WO</v>
      </c>
      <c r="P18" s="38" t="s">
        <v>43</v>
      </c>
      <c r="Q18" s="38" t="s">
        <v>43</v>
      </c>
      <c r="R18" s="38" t="s">
        <v>43</v>
      </c>
      <c r="S18" s="38" t="s">
        <v>43</v>
      </c>
      <c r="T18" s="38" t="s">
        <v>44</v>
      </c>
      <c r="U18" s="38" t="s">
        <v>43</v>
      </c>
      <c r="V18" s="38" t="str">
        <f t="shared" si="11"/>
        <v>WO</v>
      </c>
      <c r="W18" s="38" t="s">
        <v>43</v>
      </c>
      <c r="X18" s="38" t="s">
        <v>43</v>
      </c>
      <c r="Y18" s="38" t="s">
        <v>43</v>
      </c>
      <c r="Z18" s="38" t="s">
        <v>43</v>
      </c>
      <c r="AA18" s="38" t="s">
        <v>43</v>
      </c>
      <c r="AB18" s="38" t="s">
        <v>43</v>
      </c>
      <c r="AC18" s="38" t="str">
        <f t="shared" ref="AC18:AJ28" si="12">IF(AC$7="Sun","WO","")</f>
        <v>WO</v>
      </c>
      <c r="AD18" s="38" t="s">
        <v>43</v>
      </c>
      <c r="AE18" s="38" t="s">
        <v>43</v>
      </c>
      <c r="AF18" s="38" t="s">
        <v>42</v>
      </c>
      <c r="AG18" s="38" t="s">
        <v>43</v>
      </c>
      <c r="AH18" s="38" t="s">
        <v>43</v>
      </c>
      <c r="AI18" s="38" t="s">
        <v>43</v>
      </c>
      <c r="AJ18" s="38" t="str">
        <f t="shared" si="12"/>
        <v>WO</v>
      </c>
      <c r="AK18" s="38" t="s">
        <v>43</v>
      </c>
      <c r="AL18" s="38" t="s">
        <v>43</v>
      </c>
      <c r="AM18" s="38" t="s">
        <v>43</v>
      </c>
      <c r="AN18" s="38" t="s">
        <v>43</v>
      </c>
      <c r="AO18" s="39" t="s">
        <v>43</v>
      </c>
      <c r="AP18" s="31"/>
      <c r="AQ18" s="36"/>
      <c r="AR18" s="19">
        <v>10</v>
      </c>
      <c r="AS18" s="19">
        <v>1010</v>
      </c>
      <c r="AT18" s="19" t="str">
        <f t="shared" si="3"/>
        <v>October</v>
      </c>
      <c r="AU18" s="19" t="s">
        <v>12</v>
      </c>
      <c r="AV18" s="27">
        <f t="shared" si="4"/>
        <v>24</v>
      </c>
      <c r="AW18" s="22">
        <f t="shared" si="5"/>
        <v>1</v>
      </c>
      <c r="AX18" s="22">
        <f t="shared" si="6"/>
        <v>2</v>
      </c>
      <c r="AY18" s="22">
        <f t="shared" si="7"/>
        <v>4</v>
      </c>
      <c r="AZ18" s="22">
        <f t="shared" si="8"/>
        <v>31</v>
      </c>
      <c r="BA18" s="22">
        <f>Oct_Month[[#This Row],[Days]]-Oct_Month[[#This Row],[Absent]]</f>
        <v>30</v>
      </c>
      <c r="BB18" s="23">
        <v>45000</v>
      </c>
      <c r="BC18" s="23">
        <f>Oct_Month[[#This Row],[Salary]]/Oct_Month[[#This Row],[Days]]</f>
        <v>1451.6129032258063</v>
      </c>
      <c r="BD18" s="24">
        <f>Oct_Month[[#This Row],[PerDay Salary]]*Oct_Month[[#This Row],[Absent]]</f>
        <v>1451.6129032258063</v>
      </c>
      <c r="BE18" s="23">
        <f>Oct_Month[[#This Row],[Salary]]-Oct_Month[[#This Row],[Deduction]]</f>
        <v>43548.387096774197</v>
      </c>
      <c r="BF18" s="22"/>
      <c r="BG18" s="36"/>
    </row>
    <row r="19" spans="1:59" ht="15.75" x14ac:dyDescent="0.25">
      <c r="A19"/>
      <c r="B19"/>
      <c r="C19"/>
      <c r="D19" s="29"/>
      <c r="F19" s="31"/>
      <c r="G19" s="3">
        <v>11</v>
      </c>
      <c r="H19" s="4">
        <v>1011</v>
      </c>
      <c r="I19" s="5" t="s">
        <v>13</v>
      </c>
      <c r="J19" s="37">
        <f t="shared" si="9"/>
        <v>4</v>
      </c>
      <c r="K19" s="38" t="s">
        <v>43</v>
      </c>
      <c r="L19" s="38" t="s">
        <v>42</v>
      </c>
      <c r="M19" s="38" t="s">
        <v>43</v>
      </c>
      <c r="N19" s="38" t="s">
        <v>43</v>
      </c>
      <c r="O19" s="38" t="str">
        <f t="shared" si="11"/>
        <v>WO</v>
      </c>
      <c r="P19" s="38" t="s">
        <v>43</v>
      </c>
      <c r="Q19" s="38" t="s">
        <v>43</v>
      </c>
      <c r="R19" s="38" t="s">
        <v>43</v>
      </c>
      <c r="S19" s="38" t="s">
        <v>43</v>
      </c>
      <c r="T19" s="38" t="s">
        <v>43</v>
      </c>
      <c r="U19" s="38" t="s">
        <v>43</v>
      </c>
      <c r="V19" s="38" t="str">
        <f t="shared" si="11"/>
        <v>WO</v>
      </c>
      <c r="W19" s="38" t="s">
        <v>43</v>
      </c>
      <c r="X19" s="38" t="s">
        <v>43</v>
      </c>
      <c r="Y19" s="38" t="s">
        <v>43</v>
      </c>
      <c r="Z19" s="38" t="s">
        <v>44</v>
      </c>
      <c r="AA19" s="38" t="s">
        <v>43</v>
      </c>
      <c r="AB19" s="38" t="s">
        <v>43</v>
      </c>
      <c r="AC19" s="38" t="str">
        <f t="shared" si="12"/>
        <v>WO</v>
      </c>
      <c r="AD19" s="38" t="s">
        <v>43</v>
      </c>
      <c r="AE19" s="38" t="s">
        <v>43</v>
      </c>
      <c r="AF19" s="38" t="s">
        <v>42</v>
      </c>
      <c r="AG19" s="38" t="s">
        <v>43</v>
      </c>
      <c r="AH19" s="38" t="s">
        <v>43</v>
      </c>
      <c r="AI19" s="38" t="s">
        <v>43</v>
      </c>
      <c r="AJ19" s="38" t="str">
        <f t="shared" si="12"/>
        <v>WO</v>
      </c>
      <c r="AK19" s="38" t="s">
        <v>43</v>
      </c>
      <c r="AL19" s="38" t="s">
        <v>43</v>
      </c>
      <c r="AM19" s="38" t="s">
        <v>43</v>
      </c>
      <c r="AN19" s="38" t="s">
        <v>43</v>
      </c>
      <c r="AO19" s="39" t="s">
        <v>43</v>
      </c>
      <c r="AP19" s="31"/>
      <c r="AQ19" s="36"/>
      <c r="AR19" s="19">
        <v>11</v>
      </c>
      <c r="AS19" s="19">
        <v>1011</v>
      </c>
      <c r="AT19" s="19" t="str">
        <f t="shared" si="3"/>
        <v>October</v>
      </c>
      <c r="AU19" s="19" t="s">
        <v>13</v>
      </c>
      <c r="AV19" s="27">
        <f t="shared" si="4"/>
        <v>24</v>
      </c>
      <c r="AW19" s="22">
        <f t="shared" si="5"/>
        <v>1</v>
      </c>
      <c r="AX19" s="22">
        <f t="shared" si="6"/>
        <v>2</v>
      </c>
      <c r="AY19" s="22">
        <f t="shared" si="7"/>
        <v>4</v>
      </c>
      <c r="AZ19" s="22">
        <f t="shared" si="8"/>
        <v>31</v>
      </c>
      <c r="BA19" s="22">
        <f>Oct_Month[[#This Row],[Days]]-Oct_Month[[#This Row],[Absent]]</f>
        <v>30</v>
      </c>
      <c r="BB19" s="23">
        <v>48000</v>
      </c>
      <c r="BC19" s="23">
        <f>Oct_Month[[#This Row],[Salary]]/Oct_Month[[#This Row],[Days]]</f>
        <v>1548.3870967741937</v>
      </c>
      <c r="BD19" s="24">
        <f>Oct_Month[[#This Row],[PerDay Salary]]*Oct_Month[[#This Row],[Absent]]</f>
        <v>1548.3870967741937</v>
      </c>
      <c r="BE19" s="23">
        <f>Oct_Month[[#This Row],[Salary]]-Oct_Month[[#This Row],[Deduction]]</f>
        <v>46451.612903225803</v>
      </c>
      <c r="BF19" s="22"/>
      <c r="BG19" s="36"/>
    </row>
    <row r="20" spans="1:59" ht="15.75" x14ac:dyDescent="0.25">
      <c r="A20"/>
      <c r="B20"/>
      <c r="C20"/>
      <c r="D20" s="29"/>
      <c r="F20" s="31"/>
      <c r="G20" s="3">
        <v>12</v>
      </c>
      <c r="H20" s="4">
        <v>1012</v>
      </c>
      <c r="I20" s="5" t="s">
        <v>14</v>
      </c>
      <c r="J20" s="37">
        <f t="shared" si="9"/>
        <v>4</v>
      </c>
      <c r="K20" s="38" t="s">
        <v>43</v>
      </c>
      <c r="L20" s="38" t="s">
        <v>42</v>
      </c>
      <c r="M20" s="38" t="s">
        <v>43</v>
      </c>
      <c r="N20" s="38" t="s">
        <v>43</v>
      </c>
      <c r="O20" s="38" t="str">
        <f t="shared" si="11"/>
        <v>WO</v>
      </c>
      <c r="P20" s="38" t="s">
        <v>43</v>
      </c>
      <c r="Q20" s="38" t="s">
        <v>43</v>
      </c>
      <c r="R20" s="38" t="s">
        <v>43</v>
      </c>
      <c r="S20" s="38" t="s">
        <v>43</v>
      </c>
      <c r="T20" s="38" t="s">
        <v>43</v>
      </c>
      <c r="U20" s="38" t="s">
        <v>43</v>
      </c>
      <c r="V20" s="38" t="str">
        <f t="shared" si="11"/>
        <v>WO</v>
      </c>
      <c r="W20" s="38" t="s">
        <v>43</v>
      </c>
      <c r="X20" s="38" t="s">
        <v>43</v>
      </c>
      <c r="Y20" s="38" t="s">
        <v>43</v>
      </c>
      <c r="Z20" s="38" t="s">
        <v>43</v>
      </c>
      <c r="AA20" s="38" t="s">
        <v>43</v>
      </c>
      <c r="AB20" s="38" t="s">
        <v>43</v>
      </c>
      <c r="AC20" s="38" t="str">
        <f t="shared" si="12"/>
        <v>WO</v>
      </c>
      <c r="AD20" s="38" t="s">
        <v>43</v>
      </c>
      <c r="AE20" s="38" t="s">
        <v>43</v>
      </c>
      <c r="AF20" s="38" t="s">
        <v>42</v>
      </c>
      <c r="AG20" s="38" t="s">
        <v>43</v>
      </c>
      <c r="AH20" s="38" t="s">
        <v>43</v>
      </c>
      <c r="AI20" s="38" t="s">
        <v>43</v>
      </c>
      <c r="AJ20" s="38" t="str">
        <f t="shared" si="12"/>
        <v>WO</v>
      </c>
      <c r="AK20" s="38" t="s">
        <v>43</v>
      </c>
      <c r="AL20" s="38" t="s">
        <v>44</v>
      </c>
      <c r="AM20" s="38" t="s">
        <v>43</v>
      </c>
      <c r="AN20" s="38" t="s">
        <v>43</v>
      </c>
      <c r="AO20" s="39" t="s">
        <v>43</v>
      </c>
      <c r="AP20" s="31"/>
      <c r="AQ20" s="36"/>
      <c r="AR20" s="19">
        <v>12</v>
      </c>
      <c r="AS20" s="19">
        <v>1012</v>
      </c>
      <c r="AT20" s="19" t="str">
        <f t="shared" si="3"/>
        <v>October</v>
      </c>
      <c r="AU20" s="19" t="s">
        <v>14</v>
      </c>
      <c r="AV20" s="27">
        <f t="shared" si="4"/>
        <v>24</v>
      </c>
      <c r="AW20" s="22">
        <f t="shared" si="5"/>
        <v>1</v>
      </c>
      <c r="AX20" s="22">
        <f t="shared" si="6"/>
        <v>2</v>
      </c>
      <c r="AY20" s="22">
        <f t="shared" si="7"/>
        <v>4</v>
      </c>
      <c r="AZ20" s="22">
        <f t="shared" si="8"/>
        <v>31</v>
      </c>
      <c r="BA20" s="22">
        <f>Oct_Month[[#This Row],[Days]]-Oct_Month[[#This Row],[Absent]]</f>
        <v>30</v>
      </c>
      <c r="BB20" s="23">
        <v>52000</v>
      </c>
      <c r="BC20" s="23">
        <f>Oct_Month[[#This Row],[Salary]]/Oct_Month[[#This Row],[Days]]</f>
        <v>1677.4193548387098</v>
      </c>
      <c r="BD20" s="24">
        <f>Oct_Month[[#This Row],[PerDay Salary]]*Oct_Month[[#This Row],[Absent]]</f>
        <v>1677.4193548387098</v>
      </c>
      <c r="BE20" s="23">
        <f>Oct_Month[[#This Row],[Salary]]-Oct_Month[[#This Row],[Deduction]]</f>
        <v>50322.580645161288</v>
      </c>
      <c r="BF20" s="22"/>
      <c r="BG20" s="36"/>
    </row>
    <row r="21" spans="1:59" ht="15.75" x14ac:dyDescent="0.25">
      <c r="A21"/>
      <c r="B21"/>
      <c r="C21"/>
      <c r="D21" s="29"/>
      <c r="F21" s="31"/>
      <c r="G21" s="3">
        <v>13</v>
      </c>
      <c r="H21" s="4">
        <v>1013</v>
      </c>
      <c r="I21" s="5" t="s">
        <v>15</v>
      </c>
      <c r="J21" s="37">
        <f t="shared" si="9"/>
        <v>4</v>
      </c>
      <c r="K21" s="38" t="s">
        <v>43</v>
      </c>
      <c r="L21" s="38" t="s">
        <v>42</v>
      </c>
      <c r="M21" s="38" t="s">
        <v>43</v>
      </c>
      <c r="N21" s="38" t="s">
        <v>43</v>
      </c>
      <c r="O21" s="38" t="str">
        <f t="shared" si="11"/>
        <v>WO</v>
      </c>
      <c r="P21" s="38" t="s">
        <v>43</v>
      </c>
      <c r="Q21" s="38" t="s">
        <v>43</v>
      </c>
      <c r="R21" s="38" t="s">
        <v>43</v>
      </c>
      <c r="S21" s="38" t="s">
        <v>43</v>
      </c>
      <c r="T21" s="38" t="s">
        <v>43</v>
      </c>
      <c r="U21" s="38" t="s">
        <v>43</v>
      </c>
      <c r="V21" s="38" t="str">
        <f t="shared" si="11"/>
        <v>WO</v>
      </c>
      <c r="W21" s="38" t="s">
        <v>43</v>
      </c>
      <c r="X21" s="38" t="s">
        <v>43</v>
      </c>
      <c r="Y21" s="38" t="s">
        <v>43</v>
      </c>
      <c r="Z21" s="38" t="s">
        <v>43</v>
      </c>
      <c r="AA21" s="38" t="s">
        <v>43</v>
      </c>
      <c r="AB21" s="38" t="s">
        <v>43</v>
      </c>
      <c r="AC21" s="38" t="str">
        <f t="shared" si="12"/>
        <v>WO</v>
      </c>
      <c r="AD21" s="38" t="s">
        <v>43</v>
      </c>
      <c r="AE21" s="38" t="s">
        <v>43</v>
      </c>
      <c r="AF21" s="38" t="s">
        <v>42</v>
      </c>
      <c r="AG21" s="38" t="s">
        <v>44</v>
      </c>
      <c r="AH21" s="38" t="s">
        <v>43</v>
      </c>
      <c r="AI21" s="38" t="s">
        <v>43</v>
      </c>
      <c r="AJ21" s="38" t="str">
        <f t="shared" si="12"/>
        <v>WO</v>
      </c>
      <c r="AK21" s="38" t="s">
        <v>43</v>
      </c>
      <c r="AL21" s="38" t="s">
        <v>43</v>
      </c>
      <c r="AM21" s="38" t="s">
        <v>43</v>
      </c>
      <c r="AN21" s="38" t="s">
        <v>43</v>
      </c>
      <c r="AO21" s="39" t="s">
        <v>43</v>
      </c>
      <c r="AP21" s="31"/>
      <c r="AQ21" s="36"/>
      <c r="AR21" s="19">
        <v>13</v>
      </c>
      <c r="AS21" s="19">
        <v>1013</v>
      </c>
      <c r="AT21" s="19" t="str">
        <f t="shared" si="3"/>
        <v>October</v>
      </c>
      <c r="AU21" s="19" t="s">
        <v>15</v>
      </c>
      <c r="AV21" s="27">
        <f t="shared" si="4"/>
        <v>24</v>
      </c>
      <c r="AW21" s="22">
        <f t="shared" si="5"/>
        <v>1</v>
      </c>
      <c r="AX21" s="22">
        <f t="shared" si="6"/>
        <v>2</v>
      </c>
      <c r="AY21" s="22">
        <f t="shared" si="7"/>
        <v>4</v>
      </c>
      <c r="AZ21" s="22">
        <f t="shared" si="8"/>
        <v>31</v>
      </c>
      <c r="BA21" s="22">
        <f>Oct_Month[[#This Row],[Days]]-Oct_Month[[#This Row],[Absent]]</f>
        <v>30</v>
      </c>
      <c r="BB21" s="23">
        <v>42000</v>
      </c>
      <c r="BC21" s="23">
        <f>Oct_Month[[#This Row],[Salary]]/Oct_Month[[#This Row],[Days]]</f>
        <v>1354.8387096774193</v>
      </c>
      <c r="BD21" s="24">
        <f>Oct_Month[[#This Row],[PerDay Salary]]*Oct_Month[[#This Row],[Absent]]</f>
        <v>1354.8387096774193</v>
      </c>
      <c r="BE21" s="23">
        <f>Oct_Month[[#This Row],[Salary]]-Oct_Month[[#This Row],[Deduction]]</f>
        <v>40645.161290322583</v>
      </c>
      <c r="BF21" s="22"/>
      <c r="BG21" s="36"/>
    </row>
    <row r="22" spans="1:59" ht="15.75" x14ac:dyDescent="0.25">
      <c r="A22"/>
      <c r="B22"/>
      <c r="C22"/>
      <c r="D22" s="29"/>
      <c r="F22" s="31"/>
      <c r="G22" s="3">
        <v>14</v>
      </c>
      <c r="H22" s="4">
        <v>1014</v>
      </c>
      <c r="I22" s="5" t="s">
        <v>16</v>
      </c>
      <c r="J22" s="37">
        <f t="shared" si="9"/>
        <v>4</v>
      </c>
      <c r="K22" s="38" t="s">
        <v>43</v>
      </c>
      <c r="L22" s="38" t="s">
        <v>42</v>
      </c>
      <c r="M22" s="38" t="s">
        <v>43</v>
      </c>
      <c r="N22" s="38" t="s">
        <v>43</v>
      </c>
      <c r="O22" s="38" t="str">
        <f t="shared" si="11"/>
        <v>WO</v>
      </c>
      <c r="P22" s="38" t="s">
        <v>44</v>
      </c>
      <c r="Q22" s="38" t="s">
        <v>43</v>
      </c>
      <c r="R22" s="38" t="s">
        <v>43</v>
      </c>
      <c r="S22" s="38" t="s">
        <v>43</v>
      </c>
      <c r="T22" s="38" t="s">
        <v>43</v>
      </c>
      <c r="U22" s="38" t="s">
        <v>43</v>
      </c>
      <c r="V22" s="38" t="str">
        <f t="shared" si="11"/>
        <v>WO</v>
      </c>
      <c r="W22" s="38" t="s">
        <v>43</v>
      </c>
      <c r="X22" s="38" t="s">
        <v>43</v>
      </c>
      <c r="Y22" s="38" t="s">
        <v>43</v>
      </c>
      <c r="Z22" s="38" t="s">
        <v>43</v>
      </c>
      <c r="AA22" s="38" t="s">
        <v>43</v>
      </c>
      <c r="AB22" s="38" t="s">
        <v>43</v>
      </c>
      <c r="AC22" s="38" t="str">
        <f t="shared" si="12"/>
        <v>WO</v>
      </c>
      <c r="AD22" s="38" t="s">
        <v>43</v>
      </c>
      <c r="AE22" s="38" t="s">
        <v>43</v>
      </c>
      <c r="AF22" s="38" t="s">
        <v>42</v>
      </c>
      <c r="AG22" s="38" t="s">
        <v>43</v>
      </c>
      <c r="AH22" s="38" t="s">
        <v>43</v>
      </c>
      <c r="AI22" s="38" t="s">
        <v>43</v>
      </c>
      <c r="AJ22" s="38" t="str">
        <f t="shared" si="12"/>
        <v>WO</v>
      </c>
      <c r="AK22" s="38" t="s">
        <v>43</v>
      </c>
      <c r="AL22" s="38" t="s">
        <v>43</v>
      </c>
      <c r="AM22" s="38" t="s">
        <v>44</v>
      </c>
      <c r="AN22" s="38" t="s">
        <v>43</v>
      </c>
      <c r="AO22" s="39" t="s">
        <v>43</v>
      </c>
      <c r="AP22" s="31"/>
      <c r="AQ22" s="36"/>
      <c r="AR22" s="19">
        <v>14</v>
      </c>
      <c r="AS22" s="19">
        <v>1014</v>
      </c>
      <c r="AT22" s="19" t="str">
        <f t="shared" si="3"/>
        <v>October</v>
      </c>
      <c r="AU22" s="19" t="s">
        <v>16</v>
      </c>
      <c r="AV22" s="27">
        <f t="shared" si="4"/>
        <v>23</v>
      </c>
      <c r="AW22" s="22">
        <f t="shared" si="5"/>
        <v>2</v>
      </c>
      <c r="AX22" s="22">
        <f t="shared" si="6"/>
        <v>2</v>
      </c>
      <c r="AY22" s="22">
        <f t="shared" si="7"/>
        <v>4</v>
      </c>
      <c r="AZ22" s="22">
        <f t="shared" si="8"/>
        <v>31</v>
      </c>
      <c r="BA22" s="22">
        <f>Oct_Month[[#This Row],[Days]]-Oct_Month[[#This Row],[Absent]]</f>
        <v>29</v>
      </c>
      <c r="BB22" s="23">
        <v>15000</v>
      </c>
      <c r="BC22" s="23">
        <f>Oct_Month[[#This Row],[Salary]]/Oct_Month[[#This Row],[Days]]</f>
        <v>483.87096774193549</v>
      </c>
      <c r="BD22" s="24">
        <f>Oct_Month[[#This Row],[PerDay Salary]]*Oct_Month[[#This Row],[Absent]]</f>
        <v>967.74193548387098</v>
      </c>
      <c r="BE22" s="23">
        <f>Oct_Month[[#This Row],[Salary]]-Oct_Month[[#This Row],[Deduction]]</f>
        <v>14032.258064516129</v>
      </c>
      <c r="BF22" s="22"/>
      <c r="BG22" s="36"/>
    </row>
    <row r="23" spans="1:59" ht="15.75" x14ac:dyDescent="0.25">
      <c r="A23"/>
      <c r="B23"/>
      <c r="C23"/>
      <c r="D23" s="29"/>
      <c r="F23" s="31"/>
      <c r="G23" s="3">
        <v>15</v>
      </c>
      <c r="H23" s="4">
        <v>1015</v>
      </c>
      <c r="I23" s="5" t="s">
        <v>17</v>
      </c>
      <c r="J23" s="37">
        <f t="shared" si="9"/>
        <v>4</v>
      </c>
      <c r="K23" s="38" t="s">
        <v>43</v>
      </c>
      <c r="L23" s="38" t="s">
        <v>42</v>
      </c>
      <c r="M23" s="38" t="s">
        <v>43</v>
      </c>
      <c r="N23" s="38" t="s">
        <v>43</v>
      </c>
      <c r="O23" s="38" t="str">
        <f t="shared" si="11"/>
        <v>WO</v>
      </c>
      <c r="P23" s="38" t="s">
        <v>43</v>
      </c>
      <c r="Q23" s="38" t="s">
        <v>43</v>
      </c>
      <c r="R23" s="38" t="s">
        <v>43</v>
      </c>
      <c r="S23" s="38" t="s">
        <v>43</v>
      </c>
      <c r="T23" s="38" t="s">
        <v>43</v>
      </c>
      <c r="U23" s="38" t="s">
        <v>43</v>
      </c>
      <c r="V23" s="38" t="str">
        <f t="shared" si="11"/>
        <v>WO</v>
      </c>
      <c r="W23" s="38" t="s">
        <v>43</v>
      </c>
      <c r="X23" s="38" t="s">
        <v>43</v>
      </c>
      <c r="Y23" s="38" t="s">
        <v>43</v>
      </c>
      <c r="Z23" s="38" t="s">
        <v>43</v>
      </c>
      <c r="AA23" s="38" t="s">
        <v>43</v>
      </c>
      <c r="AB23" s="38" t="s">
        <v>43</v>
      </c>
      <c r="AC23" s="38" t="str">
        <f t="shared" si="12"/>
        <v>WO</v>
      </c>
      <c r="AD23" s="38" t="s">
        <v>43</v>
      </c>
      <c r="AE23" s="38" t="s">
        <v>43</v>
      </c>
      <c r="AF23" s="38" t="s">
        <v>42</v>
      </c>
      <c r="AG23" s="38" t="s">
        <v>43</v>
      </c>
      <c r="AH23" s="38" t="s">
        <v>44</v>
      </c>
      <c r="AI23" s="38" t="s">
        <v>43</v>
      </c>
      <c r="AJ23" s="38" t="str">
        <f t="shared" si="12"/>
        <v>WO</v>
      </c>
      <c r="AK23" s="38" t="s">
        <v>43</v>
      </c>
      <c r="AL23" s="38" t="s">
        <v>43</v>
      </c>
      <c r="AM23" s="38" t="s">
        <v>43</v>
      </c>
      <c r="AN23" s="38" t="s">
        <v>43</v>
      </c>
      <c r="AO23" s="39" t="s">
        <v>43</v>
      </c>
      <c r="AP23" s="31"/>
      <c r="AQ23" s="36"/>
      <c r="AR23" s="19">
        <v>15</v>
      </c>
      <c r="AS23" s="19">
        <v>1015</v>
      </c>
      <c r="AT23" s="19" t="str">
        <f t="shared" si="3"/>
        <v>October</v>
      </c>
      <c r="AU23" s="19" t="s">
        <v>17</v>
      </c>
      <c r="AV23" s="27">
        <f t="shared" si="4"/>
        <v>24</v>
      </c>
      <c r="AW23" s="22">
        <f t="shared" si="5"/>
        <v>1</v>
      </c>
      <c r="AX23" s="22">
        <f t="shared" si="6"/>
        <v>2</v>
      </c>
      <c r="AY23" s="22">
        <f t="shared" si="7"/>
        <v>4</v>
      </c>
      <c r="AZ23" s="22">
        <f t="shared" si="8"/>
        <v>31</v>
      </c>
      <c r="BA23" s="22">
        <f>Oct_Month[[#This Row],[Days]]-Oct_Month[[#This Row],[Absent]]</f>
        <v>30</v>
      </c>
      <c r="BB23" s="23">
        <v>46000</v>
      </c>
      <c r="BC23" s="23">
        <f>Oct_Month[[#This Row],[Salary]]/Oct_Month[[#This Row],[Days]]</f>
        <v>1483.8709677419354</v>
      </c>
      <c r="BD23" s="24">
        <f>Oct_Month[[#This Row],[PerDay Salary]]*Oct_Month[[#This Row],[Absent]]</f>
        <v>1483.8709677419354</v>
      </c>
      <c r="BE23" s="23">
        <f>Oct_Month[[#This Row],[Salary]]-Oct_Month[[#This Row],[Deduction]]</f>
        <v>44516.129032258068</v>
      </c>
      <c r="BF23" s="22"/>
      <c r="BG23" s="36"/>
    </row>
    <row r="24" spans="1:59" ht="15.75" x14ac:dyDescent="0.25">
      <c r="A24"/>
      <c r="B24"/>
      <c r="C24"/>
      <c r="D24" s="29"/>
      <c r="F24" s="31"/>
      <c r="G24" s="3">
        <v>16</v>
      </c>
      <c r="H24" s="4">
        <v>1016</v>
      </c>
      <c r="I24" s="5" t="s">
        <v>18</v>
      </c>
      <c r="J24" s="37">
        <f t="shared" si="9"/>
        <v>4</v>
      </c>
      <c r="K24" s="38" t="s">
        <v>43</v>
      </c>
      <c r="L24" s="38" t="s">
        <v>42</v>
      </c>
      <c r="M24" s="38" t="s">
        <v>43</v>
      </c>
      <c r="N24" s="38" t="s">
        <v>43</v>
      </c>
      <c r="O24" s="38" t="str">
        <f t="shared" si="11"/>
        <v>WO</v>
      </c>
      <c r="P24" s="38" t="s">
        <v>43</v>
      </c>
      <c r="Q24" s="38" t="s">
        <v>43</v>
      </c>
      <c r="R24" s="38" t="s">
        <v>43</v>
      </c>
      <c r="S24" s="38" t="s">
        <v>43</v>
      </c>
      <c r="T24" s="38" t="s">
        <v>43</v>
      </c>
      <c r="U24" s="38" t="s">
        <v>43</v>
      </c>
      <c r="V24" s="38" t="str">
        <f t="shared" si="11"/>
        <v>WO</v>
      </c>
      <c r="W24" s="38" t="s">
        <v>43</v>
      </c>
      <c r="X24" s="38" t="s">
        <v>43</v>
      </c>
      <c r="Y24" s="38" t="s">
        <v>43</v>
      </c>
      <c r="Z24" s="38" t="s">
        <v>43</v>
      </c>
      <c r="AA24" s="38" t="s">
        <v>43</v>
      </c>
      <c r="AB24" s="38" t="s">
        <v>43</v>
      </c>
      <c r="AC24" s="38" t="str">
        <f t="shared" si="12"/>
        <v>WO</v>
      </c>
      <c r="AD24" s="38" t="s">
        <v>44</v>
      </c>
      <c r="AE24" s="38" t="s">
        <v>43</v>
      </c>
      <c r="AF24" s="38" t="s">
        <v>42</v>
      </c>
      <c r="AG24" s="38" t="s">
        <v>43</v>
      </c>
      <c r="AH24" s="38" t="s">
        <v>43</v>
      </c>
      <c r="AI24" s="38" t="s">
        <v>43</v>
      </c>
      <c r="AJ24" s="38" t="str">
        <f t="shared" si="12"/>
        <v>WO</v>
      </c>
      <c r="AK24" s="38" t="s">
        <v>43</v>
      </c>
      <c r="AL24" s="38" t="s">
        <v>43</v>
      </c>
      <c r="AM24" s="38" t="s">
        <v>43</v>
      </c>
      <c r="AN24" s="38" t="s">
        <v>43</v>
      </c>
      <c r="AO24" s="39" t="s">
        <v>43</v>
      </c>
      <c r="AP24" s="31"/>
      <c r="AQ24" s="36"/>
      <c r="AR24" s="19">
        <v>16</v>
      </c>
      <c r="AS24" s="19">
        <v>1016</v>
      </c>
      <c r="AT24" s="19" t="str">
        <f t="shared" si="3"/>
        <v>October</v>
      </c>
      <c r="AU24" s="19" t="s">
        <v>18</v>
      </c>
      <c r="AV24" s="27">
        <f t="shared" si="4"/>
        <v>24</v>
      </c>
      <c r="AW24" s="22">
        <f t="shared" si="5"/>
        <v>1</v>
      </c>
      <c r="AX24" s="22">
        <f t="shared" si="6"/>
        <v>2</v>
      </c>
      <c r="AY24" s="22">
        <f t="shared" si="7"/>
        <v>4</v>
      </c>
      <c r="AZ24" s="22">
        <f t="shared" si="8"/>
        <v>31</v>
      </c>
      <c r="BA24" s="22">
        <f>Oct_Month[[#This Row],[Days]]-Oct_Month[[#This Row],[Absent]]</f>
        <v>30</v>
      </c>
      <c r="BB24" s="23">
        <v>52000</v>
      </c>
      <c r="BC24" s="23">
        <f>Oct_Month[[#This Row],[Salary]]/Oct_Month[[#This Row],[Days]]</f>
        <v>1677.4193548387098</v>
      </c>
      <c r="BD24" s="24">
        <f>Oct_Month[[#This Row],[PerDay Salary]]*Oct_Month[[#This Row],[Absent]]</f>
        <v>1677.4193548387098</v>
      </c>
      <c r="BE24" s="23">
        <f>Oct_Month[[#This Row],[Salary]]-Oct_Month[[#This Row],[Deduction]]</f>
        <v>50322.580645161288</v>
      </c>
      <c r="BF24" s="22"/>
      <c r="BG24" s="36"/>
    </row>
    <row r="25" spans="1:59" ht="15.75" x14ac:dyDescent="0.25">
      <c r="A25"/>
      <c r="B25"/>
      <c r="C25"/>
      <c r="D25" s="29"/>
      <c r="F25" s="31"/>
      <c r="G25" s="3">
        <v>17</v>
      </c>
      <c r="H25" s="4">
        <v>1017</v>
      </c>
      <c r="I25" s="5" t="s">
        <v>19</v>
      </c>
      <c r="J25" s="37">
        <f t="shared" si="9"/>
        <v>4</v>
      </c>
      <c r="K25" s="38" t="s">
        <v>43</v>
      </c>
      <c r="L25" s="38" t="s">
        <v>42</v>
      </c>
      <c r="M25" s="38" t="s">
        <v>43</v>
      </c>
      <c r="N25" s="38" t="s">
        <v>43</v>
      </c>
      <c r="O25" s="38" t="str">
        <f t="shared" si="11"/>
        <v>WO</v>
      </c>
      <c r="P25" s="38" t="s">
        <v>43</v>
      </c>
      <c r="Q25" s="38" t="s">
        <v>43</v>
      </c>
      <c r="R25" s="38" t="s">
        <v>43</v>
      </c>
      <c r="S25" s="38" t="s">
        <v>44</v>
      </c>
      <c r="T25" s="38" t="s">
        <v>43</v>
      </c>
      <c r="U25" s="38" t="s">
        <v>43</v>
      </c>
      <c r="V25" s="38" t="str">
        <f t="shared" si="11"/>
        <v>WO</v>
      </c>
      <c r="W25" s="38" t="s">
        <v>43</v>
      </c>
      <c r="X25" s="38" t="s">
        <v>43</v>
      </c>
      <c r="Y25" s="38" t="s">
        <v>43</v>
      </c>
      <c r="Z25" s="38" t="s">
        <v>43</v>
      </c>
      <c r="AA25" s="38" t="s">
        <v>43</v>
      </c>
      <c r="AB25" s="38" t="s">
        <v>43</v>
      </c>
      <c r="AC25" s="38" t="str">
        <f t="shared" si="12"/>
        <v>WO</v>
      </c>
      <c r="AD25" s="38" t="s">
        <v>43</v>
      </c>
      <c r="AE25" s="38" t="s">
        <v>43</v>
      </c>
      <c r="AF25" s="38" t="s">
        <v>42</v>
      </c>
      <c r="AG25" s="38" t="s">
        <v>43</v>
      </c>
      <c r="AH25" s="38" t="s">
        <v>43</v>
      </c>
      <c r="AI25" s="38" t="s">
        <v>43</v>
      </c>
      <c r="AJ25" s="38" t="str">
        <f t="shared" si="12"/>
        <v>WO</v>
      </c>
      <c r="AK25" s="38" t="s">
        <v>43</v>
      </c>
      <c r="AL25" s="38" t="s">
        <v>43</v>
      </c>
      <c r="AM25" s="38" t="s">
        <v>43</v>
      </c>
      <c r="AN25" s="38" t="s">
        <v>43</v>
      </c>
      <c r="AO25" s="39" t="s">
        <v>43</v>
      </c>
      <c r="AP25" s="31"/>
      <c r="AQ25" s="36"/>
      <c r="AR25" s="19">
        <v>17</v>
      </c>
      <c r="AS25" s="19">
        <v>1017</v>
      </c>
      <c r="AT25" s="19" t="str">
        <f t="shared" si="3"/>
        <v>October</v>
      </c>
      <c r="AU25" s="19" t="s">
        <v>19</v>
      </c>
      <c r="AV25" s="27">
        <f t="shared" si="4"/>
        <v>24</v>
      </c>
      <c r="AW25" s="22">
        <f t="shared" si="5"/>
        <v>1</v>
      </c>
      <c r="AX25" s="22">
        <f t="shared" si="6"/>
        <v>2</v>
      </c>
      <c r="AY25" s="22">
        <f t="shared" si="7"/>
        <v>4</v>
      </c>
      <c r="AZ25" s="22">
        <f t="shared" si="8"/>
        <v>31</v>
      </c>
      <c r="BA25" s="22">
        <f>Oct_Month[[#This Row],[Days]]-Oct_Month[[#This Row],[Absent]]</f>
        <v>30</v>
      </c>
      <c r="BB25" s="23">
        <v>42000</v>
      </c>
      <c r="BC25" s="23">
        <f>Oct_Month[[#This Row],[Salary]]/Oct_Month[[#This Row],[Days]]</f>
        <v>1354.8387096774193</v>
      </c>
      <c r="BD25" s="24">
        <f>Oct_Month[[#This Row],[PerDay Salary]]*Oct_Month[[#This Row],[Absent]]</f>
        <v>1354.8387096774193</v>
      </c>
      <c r="BE25" s="23">
        <f>Oct_Month[[#This Row],[Salary]]-Oct_Month[[#This Row],[Deduction]]</f>
        <v>40645.161290322583</v>
      </c>
      <c r="BF25" s="22"/>
      <c r="BG25" s="36"/>
    </row>
    <row r="26" spans="1:59" ht="15.75" x14ac:dyDescent="0.25">
      <c r="A26"/>
      <c r="B26"/>
      <c r="C26"/>
      <c r="D26" s="29"/>
      <c r="F26" s="31"/>
      <c r="G26" s="3">
        <v>18</v>
      </c>
      <c r="H26" s="4">
        <v>1018</v>
      </c>
      <c r="I26" s="5" t="s">
        <v>20</v>
      </c>
      <c r="J26" s="37">
        <f t="shared" si="9"/>
        <v>4</v>
      </c>
      <c r="K26" s="38" t="s">
        <v>43</v>
      </c>
      <c r="L26" s="38" t="s">
        <v>42</v>
      </c>
      <c r="M26" s="38" t="s">
        <v>43</v>
      </c>
      <c r="N26" s="38" t="s">
        <v>43</v>
      </c>
      <c r="O26" s="38" t="str">
        <f t="shared" si="11"/>
        <v>WO</v>
      </c>
      <c r="P26" s="38" t="s">
        <v>43</v>
      </c>
      <c r="Q26" s="38" t="s">
        <v>43</v>
      </c>
      <c r="R26" s="38" t="s">
        <v>43</v>
      </c>
      <c r="S26" s="38" t="s">
        <v>43</v>
      </c>
      <c r="T26" s="38" t="s">
        <v>43</v>
      </c>
      <c r="U26" s="38" t="s">
        <v>43</v>
      </c>
      <c r="V26" s="38" t="str">
        <f t="shared" si="11"/>
        <v>WO</v>
      </c>
      <c r="W26" s="38" t="s">
        <v>43</v>
      </c>
      <c r="X26" s="38" t="s">
        <v>43</v>
      </c>
      <c r="Y26" s="38" t="s">
        <v>43</v>
      </c>
      <c r="Z26" s="38" t="s">
        <v>43</v>
      </c>
      <c r="AA26" s="38" t="s">
        <v>44</v>
      </c>
      <c r="AB26" s="38" t="s">
        <v>43</v>
      </c>
      <c r="AC26" s="38" t="str">
        <f t="shared" si="12"/>
        <v>WO</v>
      </c>
      <c r="AD26" s="38" t="s">
        <v>43</v>
      </c>
      <c r="AE26" s="38" t="s">
        <v>43</v>
      </c>
      <c r="AF26" s="38" t="s">
        <v>42</v>
      </c>
      <c r="AG26" s="38" t="s">
        <v>43</v>
      </c>
      <c r="AH26" s="38" t="s">
        <v>43</v>
      </c>
      <c r="AI26" s="38" t="s">
        <v>43</v>
      </c>
      <c r="AJ26" s="38" t="str">
        <f t="shared" si="12"/>
        <v>WO</v>
      </c>
      <c r="AK26" s="38" t="s">
        <v>43</v>
      </c>
      <c r="AL26" s="38" t="s">
        <v>43</v>
      </c>
      <c r="AM26" s="38" t="s">
        <v>43</v>
      </c>
      <c r="AN26" s="38" t="s">
        <v>43</v>
      </c>
      <c r="AO26" s="39" t="s">
        <v>43</v>
      </c>
      <c r="AP26" s="31"/>
      <c r="AQ26" s="36"/>
      <c r="AR26" s="19">
        <v>18</v>
      </c>
      <c r="AS26" s="19">
        <v>1018</v>
      </c>
      <c r="AT26" s="19" t="str">
        <f t="shared" si="3"/>
        <v>October</v>
      </c>
      <c r="AU26" s="19" t="s">
        <v>20</v>
      </c>
      <c r="AV26" s="27">
        <f t="shared" si="4"/>
        <v>24</v>
      </c>
      <c r="AW26" s="22">
        <f t="shared" si="5"/>
        <v>1</v>
      </c>
      <c r="AX26" s="22">
        <f t="shared" si="6"/>
        <v>2</v>
      </c>
      <c r="AY26" s="22">
        <f t="shared" si="7"/>
        <v>4</v>
      </c>
      <c r="AZ26" s="22">
        <f t="shared" si="8"/>
        <v>31</v>
      </c>
      <c r="BA26" s="22">
        <f>Oct_Month[[#This Row],[Days]]-Oct_Month[[#This Row],[Absent]]</f>
        <v>30</v>
      </c>
      <c r="BB26" s="23">
        <v>62000</v>
      </c>
      <c r="BC26" s="23">
        <f>Oct_Month[[#This Row],[Salary]]/Oct_Month[[#This Row],[Days]]</f>
        <v>2000</v>
      </c>
      <c r="BD26" s="24">
        <f>Oct_Month[[#This Row],[PerDay Salary]]*Oct_Month[[#This Row],[Absent]]</f>
        <v>2000</v>
      </c>
      <c r="BE26" s="23">
        <f>Oct_Month[[#This Row],[Salary]]-Oct_Month[[#This Row],[Deduction]]</f>
        <v>60000</v>
      </c>
      <c r="BF26" s="22"/>
      <c r="BG26" s="36"/>
    </row>
    <row r="27" spans="1:59" ht="15.75" x14ac:dyDescent="0.25">
      <c r="A27"/>
      <c r="B27"/>
      <c r="C27"/>
      <c r="D27" s="29"/>
      <c r="F27" s="31"/>
      <c r="G27" s="3">
        <v>19</v>
      </c>
      <c r="H27" s="4">
        <v>1019</v>
      </c>
      <c r="I27" s="5" t="s">
        <v>21</v>
      </c>
      <c r="J27" s="37">
        <f t="shared" si="9"/>
        <v>4</v>
      </c>
      <c r="K27" s="38" t="s">
        <v>43</v>
      </c>
      <c r="L27" s="38" t="s">
        <v>42</v>
      </c>
      <c r="M27" s="38" t="s">
        <v>43</v>
      </c>
      <c r="N27" s="38" t="s">
        <v>43</v>
      </c>
      <c r="O27" s="38" t="str">
        <f t="shared" si="11"/>
        <v>WO</v>
      </c>
      <c r="P27" s="38" t="s">
        <v>43</v>
      </c>
      <c r="Q27" s="38" t="s">
        <v>43</v>
      </c>
      <c r="R27" s="38" t="s">
        <v>43</v>
      </c>
      <c r="S27" s="38" t="s">
        <v>43</v>
      </c>
      <c r="T27" s="38" t="s">
        <v>43</v>
      </c>
      <c r="U27" s="38" t="s">
        <v>43</v>
      </c>
      <c r="V27" s="38" t="str">
        <f t="shared" si="11"/>
        <v>WO</v>
      </c>
      <c r="W27" s="38" t="s">
        <v>43</v>
      </c>
      <c r="X27" s="38" t="s">
        <v>44</v>
      </c>
      <c r="Y27" s="38" t="s">
        <v>43</v>
      </c>
      <c r="Z27" s="38" t="s">
        <v>43</v>
      </c>
      <c r="AA27" s="38" t="s">
        <v>43</v>
      </c>
      <c r="AB27" s="38" t="s">
        <v>43</v>
      </c>
      <c r="AC27" s="38" t="str">
        <f t="shared" si="12"/>
        <v>WO</v>
      </c>
      <c r="AD27" s="38" t="s">
        <v>43</v>
      </c>
      <c r="AE27" s="38" t="s">
        <v>43</v>
      </c>
      <c r="AF27" s="38" t="s">
        <v>42</v>
      </c>
      <c r="AG27" s="38" t="s">
        <v>43</v>
      </c>
      <c r="AH27" s="38" t="s">
        <v>43</v>
      </c>
      <c r="AI27" s="38" t="s">
        <v>43</v>
      </c>
      <c r="AJ27" s="38" t="str">
        <f t="shared" si="12"/>
        <v>WO</v>
      </c>
      <c r="AK27" s="38" t="s">
        <v>43</v>
      </c>
      <c r="AL27" s="38" t="s">
        <v>43</v>
      </c>
      <c r="AM27" s="38" t="s">
        <v>43</v>
      </c>
      <c r="AN27" s="38" t="s">
        <v>43</v>
      </c>
      <c r="AO27" s="39" t="s">
        <v>43</v>
      </c>
      <c r="AP27" s="31"/>
      <c r="AQ27" s="36"/>
      <c r="AR27" s="19">
        <v>19</v>
      </c>
      <c r="AS27" s="19">
        <v>1019</v>
      </c>
      <c r="AT27" s="19" t="str">
        <f t="shared" si="3"/>
        <v>October</v>
      </c>
      <c r="AU27" s="19" t="s">
        <v>21</v>
      </c>
      <c r="AV27" s="27">
        <f t="shared" si="4"/>
        <v>24</v>
      </c>
      <c r="AW27" s="22">
        <f t="shared" si="5"/>
        <v>1</v>
      </c>
      <c r="AX27" s="22">
        <f t="shared" si="6"/>
        <v>2</v>
      </c>
      <c r="AY27" s="22">
        <f t="shared" si="7"/>
        <v>4</v>
      </c>
      <c r="AZ27" s="22">
        <f t="shared" si="8"/>
        <v>31</v>
      </c>
      <c r="BA27" s="22">
        <f>Oct_Month[[#This Row],[Days]]-Oct_Month[[#This Row],[Absent]]</f>
        <v>30</v>
      </c>
      <c r="BB27" s="23">
        <v>41000</v>
      </c>
      <c r="BC27" s="23">
        <f>Oct_Month[[#This Row],[Salary]]/Oct_Month[[#This Row],[Days]]</f>
        <v>1322.5806451612902</v>
      </c>
      <c r="BD27" s="24">
        <f>Oct_Month[[#This Row],[PerDay Salary]]*Oct_Month[[#This Row],[Absent]]</f>
        <v>1322.5806451612902</v>
      </c>
      <c r="BE27" s="23">
        <f>Oct_Month[[#This Row],[Salary]]-Oct_Month[[#This Row],[Deduction]]</f>
        <v>39677.419354838712</v>
      </c>
      <c r="BF27" s="22"/>
      <c r="BG27" s="36"/>
    </row>
    <row r="28" spans="1:59" ht="16.5" thickBot="1" x14ac:dyDescent="0.3">
      <c r="A28"/>
      <c r="B28"/>
      <c r="C28"/>
      <c r="D28" s="29"/>
      <c r="F28" s="31"/>
      <c r="G28" s="6">
        <v>20</v>
      </c>
      <c r="H28" s="7">
        <v>1020</v>
      </c>
      <c r="I28" s="8" t="s">
        <v>22</v>
      </c>
      <c r="J28" s="40">
        <f t="shared" si="9"/>
        <v>4</v>
      </c>
      <c r="K28" s="41" t="s">
        <v>43</v>
      </c>
      <c r="L28" s="41" t="s">
        <v>42</v>
      </c>
      <c r="M28" s="41" t="s">
        <v>43</v>
      </c>
      <c r="N28" s="41" t="s">
        <v>43</v>
      </c>
      <c r="O28" s="41" t="str">
        <f t="shared" si="11"/>
        <v>WO</v>
      </c>
      <c r="P28" s="41" t="s">
        <v>43</v>
      </c>
      <c r="Q28" s="41" t="s">
        <v>43</v>
      </c>
      <c r="R28" s="41" t="s">
        <v>43</v>
      </c>
      <c r="S28" s="41" t="s">
        <v>43</v>
      </c>
      <c r="T28" s="41" t="s">
        <v>43</v>
      </c>
      <c r="U28" s="41" t="s">
        <v>43</v>
      </c>
      <c r="V28" s="41" t="str">
        <f t="shared" si="11"/>
        <v>WO</v>
      </c>
      <c r="W28" s="41" t="s">
        <v>43</v>
      </c>
      <c r="X28" s="41" t="s">
        <v>43</v>
      </c>
      <c r="Y28" s="41" t="s">
        <v>44</v>
      </c>
      <c r="Z28" s="41" t="s">
        <v>43</v>
      </c>
      <c r="AA28" s="41" t="s">
        <v>43</v>
      </c>
      <c r="AB28" s="41" t="s">
        <v>43</v>
      </c>
      <c r="AC28" s="41" t="str">
        <f t="shared" si="12"/>
        <v>WO</v>
      </c>
      <c r="AD28" s="41" t="s">
        <v>43</v>
      </c>
      <c r="AE28" s="41" t="s">
        <v>43</v>
      </c>
      <c r="AF28" s="41" t="s">
        <v>42</v>
      </c>
      <c r="AG28" s="41" t="s">
        <v>43</v>
      </c>
      <c r="AH28" s="41" t="s">
        <v>43</v>
      </c>
      <c r="AI28" s="41" t="s">
        <v>43</v>
      </c>
      <c r="AJ28" s="41" t="str">
        <f t="shared" si="12"/>
        <v>WO</v>
      </c>
      <c r="AK28" s="41" t="s">
        <v>43</v>
      </c>
      <c r="AL28" s="41" t="s">
        <v>43</v>
      </c>
      <c r="AM28" s="41" t="s">
        <v>43</v>
      </c>
      <c r="AN28" s="41" t="s">
        <v>43</v>
      </c>
      <c r="AO28" s="42" t="s">
        <v>43</v>
      </c>
      <c r="AP28" s="31"/>
      <c r="AQ28" s="36"/>
      <c r="AR28" s="19">
        <v>20</v>
      </c>
      <c r="AS28" s="19">
        <v>1020</v>
      </c>
      <c r="AT28" s="19" t="str">
        <f t="shared" si="3"/>
        <v>October</v>
      </c>
      <c r="AU28" s="19" t="s">
        <v>22</v>
      </c>
      <c r="AV28" s="27">
        <f t="shared" si="4"/>
        <v>24</v>
      </c>
      <c r="AW28" s="22">
        <f t="shared" si="5"/>
        <v>1</v>
      </c>
      <c r="AX28" s="22">
        <f t="shared" si="6"/>
        <v>2</v>
      </c>
      <c r="AY28" s="22">
        <f t="shared" si="7"/>
        <v>4</v>
      </c>
      <c r="AZ28" s="22">
        <f t="shared" si="8"/>
        <v>31</v>
      </c>
      <c r="BA28" s="22">
        <f>Oct_Month[[#This Row],[Days]]-Oct_Month[[#This Row],[Absent]]</f>
        <v>30</v>
      </c>
      <c r="BB28" s="23">
        <v>30000</v>
      </c>
      <c r="BC28" s="23">
        <f>Oct_Month[[#This Row],[Salary]]/Oct_Month[[#This Row],[Days]]</f>
        <v>967.74193548387098</v>
      </c>
      <c r="BD28" s="24">
        <f>Oct_Month[[#This Row],[PerDay Salary]]*Oct_Month[[#This Row],[Absent]]</f>
        <v>967.74193548387098</v>
      </c>
      <c r="BE28" s="23">
        <f>Oct_Month[[#This Row],[Salary]]-Oct_Month[[#This Row],[Deduction]]</f>
        <v>29032.258064516129</v>
      </c>
      <c r="BF28" s="22"/>
      <c r="BG28" s="36"/>
    </row>
    <row r="29" spans="1:59" ht="15.75" thickTop="1" x14ac:dyDescent="0.25">
      <c r="A29"/>
      <c r="B29"/>
      <c r="C29"/>
      <c r="D29" s="29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x14ac:dyDescent="0.25">
      <c r="D30" s="29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</row>
    <row r="31" spans="1:59" x14ac:dyDescent="0.25">
      <c r="D31" s="29"/>
    </row>
    <row r="32" spans="1:59" x14ac:dyDescent="0.25">
      <c r="D32" s="29"/>
    </row>
    <row r="33" spans="4:4" x14ac:dyDescent="0.25">
      <c r="D33" s="29"/>
    </row>
    <row r="34" spans="4:4" x14ac:dyDescent="0.25">
      <c r="D34" s="29"/>
    </row>
    <row r="35" spans="4:4" x14ac:dyDescent="0.25">
      <c r="D35" s="29"/>
    </row>
    <row r="36" spans="4:4" x14ac:dyDescent="0.25">
      <c r="D36" s="29"/>
    </row>
    <row r="37" spans="4:4" x14ac:dyDescent="0.25">
      <c r="D37" s="29"/>
    </row>
    <row r="38" spans="4:4" x14ac:dyDescent="0.25">
      <c r="D38" s="29"/>
    </row>
    <row r="39" spans="4:4" x14ac:dyDescent="0.25">
      <c r="D39" s="29"/>
    </row>
    <row r="40" spans="4:4" x14ac:dyDescent="0.25">
      <c r="D40" s="29"/>
    </row>
    <row r="41" spans="4:4" x14ac:dyDescent="0.25">
      <c r="D41" s="29"/>
    </row>
    <row r="42" spans="4:4" x14ac:dyDescent="0.25">
      <c r="D42" s="29"/>
    </row>
    <row r="43" spans="4:4" x14ac:dyDescent="0.25">
      <c r="D43" s="29"/>
    </row>
    <row r="44" spans="4:4" x14ac:dyDescent="0.25">
      <c r="D44" s="29"/>
    </row>
    <row r="45" spans="4:4" x14ac:dyDescent="0.25">
      <c r="D45" s="29"/>
    </row>
    <row r="46" spans="4:4" x14ac:dyDescent="0.25">
      <c r="D46" s="29"/>
    </row>
    <row r="47" spans="4:4" x14ac:dyDescent="0.25">
      <c r="D47" s="29"/>
    </row>
    <row r="48" spans="4:4" x14ac:dyDescent="0.25">
      <c r="D48" s="29"/>
    </row>
  </sheetData>
  <mergeCells count="1">
    <mergeCell ref="G7:I7"/>
  </mergeCells>
  <conditionalFormatting sqref="K9:AO28">
    <cfRule type="containsText" dxfId="71" priority="1" operator="containsText" text="L">
      <formula>NOT(ISERROR(SEARCH("L",K9)))</formula>
    </cfRule>
    <cfRule type="containsText" dxfId="70" priority="2" operator="containsText" text="A">
      <formula>NOT(ISERROR(SEARCH("A",K9)))</formula>
    </cfRule>
    <cfRule type="containsText" dxfId="69" priority="3" operator="containsText" text="P">
      <formula>NOT(ISERROR(SEARCH("P",K9)))</formula>
    </cfRule>
    <cfRule type="containsText" dxfId="68" priority="4" operator="containsText" text="WO">
      <formula>NOT(ISERROR(SEARCH("WO",K9)))</formula>
    </cfRule>
    <cfRule type="containsText" dxfId="67" priority="5" operator="containsText" text="WO">
      <formula>NOT(ISERROR(SEARCH("WO",K9)))</formula>
    </cfRule>
  </conditionalFormatting>
  <dataValidations count="1">
    <dataValidation type="list" allowBlank="1" showInputMessage="1" showErrorMessage="1" sqref="W9:AB28 AK9:AO28 K9:N28 P9:U28 AD9:AI28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Oct!AV9:AY9</xm:f>
              <xm:sqref>BF9</xm:sqref>
            </x14:sparkline>
            <x14:sparkline>
              <xm:f>Oct!AV10:AY10</xm:f>
              <xm:sqref>BF10</xm:sqref>
            </x14:sparkline>
            <x14:sparkline>
              <xm:f>Oct!AV11:AY11</xm:f>
              <xm:sqref>BF11</xm:sqref>
            </x14:sparkline>
            <x14:sparkline>
              <xm:f>Oct!AV12:AY12</xm:f>
              <xm:sqref>BF12</xm:sqref>
            </x14:sparkline>
            <x14:sparkline>
              <xm:f>Oct!AV13:AY13</xm:f>
              <xm:sqref>BF13</xm:sqref>
            </x14:sparkline>
            <x14:sparkline>
              <xm:f>Oct!AV14:AY14</xm:f>
              <xm:sqref>BF14</xm:sqref>
            </x14:sparkline>
            <x14:sparkline>
              <xm:f>Oct!AV15:AY15</xm:f>
              <xm:sqref>BF15</xm:sqref>
            </x14:sparkline>
            <x14:sparkline>
              <xm:f>Oct!AV16:AY16</xm:f>
              <xm:sqref>BF16</xm:sqref>
            </x14:sparkline>
            <x14:sparkline>
              <xm:f>Oct!AV17:AY17</xm:f>
              <xm:sqref>BF17</xm:sqref>
            </x14:sparkline>
            <x14:sparkline>
              <xm:f>Oct!AV18:AY18</xm:f>
              <xm:sqref>BF18</xm:sqref>
            </x14:sparkline>
            <x14:sparkline>
              <xm:f>Oct!AV19:AY19</xm:f>
              <xm:sqref>BF19</xm:sqref>
            </x14:sparkline>
            <x14:sparkline>
              <xm:f>Oct!AV20:AY20</xm:f>
              <xm:sqref>BF20</xm:sqref>
            </x14:sparkline>
            <x14:sparkline>
              <xm:f>Oct!AV21:AY21</xm:f>
              <xm:sqref>BF21</xm:sqref>
            </x14:sparkline>
            <x14:sparkline>
              <xm:f>Oct!AV22:AY22</xm:f>
              <xm:sqref>BF22</xm:sqref>
            </x14:sparkline>
            <x14:sparkline>
              <xm:f>Oct!AV23:AY23</xm:f>
              <xm:sqref>BF23</xm:sqref>
            </x14:sparkline>
            <x14:sparkline>
              <xm:f>Oct!AV24:AY24</xm:f>
              <xm:sqref>BF24</xm:sqref>
            </x14:sparkline>
            <x14:sparkline>
              <xm:f>Oct!AV25:AY25</xm:f>
              <xm:sqref>BF25</xm:sqref>
            </x14:sparkline>
            <x14:sparkline>
              <xm:f>Oct!AV26:AY26</xm:f>
              <xm:sqref>BF26</xm:sqref>
            </x14:sparkline>
            <x14:sparkline>
              <xm:f>Oct!AV27:AY27</xm:f>
              <xm:sqref>BF27</xm:sqref>
            </x14:sparkline>
            <x14:sparkline>
              <xm:f>Oct!AV28:AY28</xm:f>
              <xm:sqref>BF28</xm:sqref>
            </x14:sparkline>
          </x14:sparklines>
        </x14:sparklineGroup>
      </x14:sparklineGroup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zoomScale="70" zoomScaleNormal="70" workbookViewId="0">
      <selection activeCell="N14" sqref="N14"/>
    </sheetView>
  </sheetViews>
  <sheetFormatPr defaultRowHeight="15" x14ac:dyDescent="0.25"/>
  <cols>
    <col min="1" max="3" width="9.140625" style="29"/>
    <col min="5" max="6" width="9.140625" style="29"/>
    <col min="7" max="7" width="9.140625" style="29" customWidth="1"/>
    <col min="8" max="8" width="13.140625" style="29" bestFit="1" customWidth="1"/>
    <col min="9" max="9" width="18.85546875" style="29" customWidth="1"/>
    <col min="10" max="10" width="10" style="29" bestFit="1" customWidth="1"/>
    <col min="11" max="11" width="5.7109375" style="29" customWidth="1"/>
    <col min="12" max="12" width="4.85546875" style="29" customWidth="1"/>
    <col min="13" max="13" width="5.85546875" style="29" bestFit="1" customWidth="1"/>
    <col min="14" max="14" width="4.28515625" style="29" customWidth="1"/>
    <col min="15" max="15" width="4.85546875" style="29" customWidth="1"/>
    <col min="16" max="16" width="5.5703125" style="29" customWidth="1"/>
    <col min="17" max="17" width="4.85546875" style="29" customWidth="1"/>
    <col min="18" max="18" width="5.7109375" style="29" customWidth="1"/>
    <col min="19" max="19" width="5.7109375" style="29" bestFit="1" customWidth="1"/>
    <col min="20" max="20" width="3.7109375" style="29" customWidth="1"/>
    <col min="21" max="21" width="4.28515625" style="29" customWidth="1"/>
    <col min="22" max="22" width="4.85546875" style="29" customWidth="1"/>
    <col min="23" max="23" width="5.5703125" style="29" customWidth="1"/>
    <col min="24" max="24" width="4.85546875" style="29" customWidth="1"/>
    <col min="25" max="25" width="5.7109375" style="29" customWidth="1"/>
    <col min="26" max="26" width="5.7109375" style="29" bestFit="1" customWidth="1"/>
    <col min="27" max="27" width="3.7109375" style="29" customWidth="1"/>
    <col min="28" max="28" width="4.28515625" style="29" customWidth="1"/>
    <col min="29" max="29" width="4.85546875" style="29" customWidth="1"/>
    <col min="30" max="30" width="5.5703125" style="29" customWidth="1"/>
    <col min="31" max="31" width="4.85546875" style="29" customWidth="1"/>
    <col min="32" max="32" width="5.7109375" style="29" customWidth="1"/>
    <col min="33" max="33" width="5.7109375" style="29" bestFit="1" customWidth="1"/>
    <col min="34" max="34" width="5.85546875" style="29" bestFit="1" customWidth="1"/>
    <col min="35" max="35" width="4.28515625" style="29" customWidth="1"/>
    <col min="36" max="36" width="4.85546875" style="29" customWidth="1"/>
    <col min="37" max="37" width="5.5703125" style="29" customWidth="1"/>
    <col min="38" max="38" width="4.85546875" style="29" customWidth="1"/>
    <col min="39" max="39" width="5.7109375" style="29" customWidth="1"/>
    <col min="40" max="40" width="5.7109375" style="29" bestFit="1" customWidth="1"/>
    <col min="41" max="41" width="3.7109375" style="29" customWidth="1"/>
    <col min="42" max="43" width="9.140625" style="29"/>
    <col min="44" max="44" width="7.28515625" style="29" customWidth="1"/>
    <col min="45" max="46" width="14.140625" style="29" customWidth="1"/>
    <col min="47" max="47" width="17.85546875" style="29" customWidth="1"/>
    <col min="48" max="48" width="9.85546875" style="29" customWidth="1"/>
    <col min="49" max="49" width="9.28515625" style="29" customWidth="1"/>
    <col min="50" max="50" width="9.140625" style="29"/>
    <col min="51" max="51" width="11.85546875" style="29" customWidth="1"/>
    <col min="52" max="52" width="9.140625" style="29"/>
    <col min="53" max="53" width="12" style="29" customWidth="1"/>
    <col min="54" max="54" width="12.42578125" style="29" bestFit="1" customWidth="1"/>
    <col min="55" max="55" width="15.7109375" style="29" customWidth="1"/>
    <col min="56" max="56" width="12.140625" style="29" customWidth="1"/>
    <col min="57" max="57" width="13.7109375" style="29" customWidth="1"/>
    <col min="58" max="58" width="15.5703125" style="29" bestFit="1" customWidth="1"/>
    <col min="59" max="16384" width="9.140625" style="29"/>
  </cols>
  <sheetData>
    <row r="1" spans="1:59" x14ac:dyDescent="0.25">
      <c r="A1"/>
      <c r="B1"/>
      <c r="C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25">
      <c r="A2"/>
      <c r="B2"/>
      <c r="C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25">
      <c r="A3"/>
      <c r="B3"/>
      <c r="C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25">
      <c r="A4"/>
      <c r="B4"/>
      <c r="C4"/>
      <c r="D4" s="29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/>
      <c r="B5"/>
      <c r="C5"/>
      <c r="D5" s="29"/>
      <c r="F5" s="43"/>
      <c r="G5" s="43" t="s">
        <v>27</v>
      </c>
      <c r="H5" s="44">
        <v>45962</v>
      </c>
      <c r="I5" s="43">
        <f>(DATEDIF($H$5,$L$5,"D"))+1</f>
        <v>30</v>
      </c>
      <c r="J5" s="43" t="str">
        <f>TEXT(H5,"MMMM")</f>
        <v>November</v>
      </c>
      <c r="K5" s="43" t="s">
        <v>28</v>
      </c>
      <c r="L5" s="44">
        <f>EOMONTH(H5,0)</f>
        <v>45991</v>
      </c>
      <c r="M5" s="43"/>
      <c r="BD5" s="30"/>
    </row>
    <row r="6" spans="1:59" ht="15.75" thickBot="1" x14ac:dyDescent="0.3">
      <c r="A6"/>
      <c r="B6"/>
      <c r="C6"/>
      <c r="D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16.5" thickTop="1" x14ac:dyDescent="0.25">
      <c r="A7"/>
      <c r="B7"/>
      <c r="C7"/>
      <c r="D7" s="29"/>
      <c r="F7" s="31"/>
      <c r="G7" s="56" t="s">
        <v>30</v>
      </c>
      <c r="H7" s="57"/>
      <c r="I7" s="58"/>
      <c r="J7" s="15" t="s">
        <v>29</v>
      </c>
      <c r="K7" s="16" t="str">
        <f>TEXT(K8,"DDD")</f>
        <v>Sat</v>
      </c>
      <c r="L7" s="16" t="str">
        <f t="shared" ref="L7:AO7" si="0">TEXT(L8,"DDD")</f>
        <v>Sun</v>
      </c>
      <c r="M7" s="16" t="str">
        <f t="shared" si="0"/>
        <v>Mon</v>
      </c>
      <c r="N7" s="16" t="str">
        <f t="shared" si="0"/>
        <v>Tue</v>
      </c>
      <c r="O7" s="16" t="str">
        <f t="shared" si="0"/>
        <v>Wed</v>
      </c>
      <c r="P7" s="16" t="str">
        <f t="shared" si="0"/>
        <v>Thu</v>
      </c>
      <c r="Q7" s="16" t="str">
        <f t="shared" si="0"/>
        <v>Fri</v>
      </c>
      <c r="R7" s="16" t="str">
        <f t="shared" si="0"/>
        <v>Sat</v>
      </c>
      <c r="S7" s="16" t="str">
        <f t="shared" si="0"/>
        <v>Sun</v>
      </c>
      <c r="T7" s="16" t="str">
        <f t="shared" si="0"/>
        <v>Mon</v>
      </c>
      <c r="U7" s="16" t="str">
        <f t="shared" si="0"/>
        <v>Tue</v>
      </c>
      <c r="V7" s="16" t="str">
        <f t="shared" si="0"/>
        <v>Wed</v>
      </c>
      <c r="W7" s="16" t="str">
        <f t="shared" si="0"/>
        <v>Thu</v>
      </c>
      <c r="X7" s="16" t="str">
        <f t="shared" si="0"/>
        <v>Fri</v>
      </c>
      <c r="Y7" s="16" t="str">
        <f t="shared" si="0"/>
        <v>Sat</v>
      </c>
      <c r="Z7" s="16" t="str">
        <f t="shared" si="0"/>
        <v>Sun</v>
      </c>
      <c r="AA7" s="16" t="str">
        <f t="shared" si="0"/>
        <v>Mon</v>
      </c>
      <c r="AB7" s="16" t="str">
        <f t="shared" si="0"/>
        <v>Tue</v>
      </c>
      <c r="AC7" s="16" t="str">
        <f t="shared" si="0"/>
        <v>Wed</v>
      </c>
      <c r="AD7" s="16" t="str">
        <f t="shared" si="0"/>
        <v>Thu</v>
      </c>
      <c r="AE7" s="16" t="str">
        <f t="shared" si="0"/>
        <v>Fri</v>
      </c>
      <c r="AF7" s="16" t="str">
        <f t="shared" si="0"/>
        <v>Sat</v>
      </c>
      <c r="AG7" s="16" t="str">
        <f t="shared" si="0"/>
        <v>Sun</v>
      </c>
      <c r="AH7" s="16" t="str">
        <f t="shared" si="0"/>
        <v>Mon</v>
      </c>
      <c r="AI7" s="16" t="str">
        <f t="shared" si="0"/>
        <v>Tue</v>
      </c>
      <c r="AJ7" s="16" t="str">
        <f t="shared" si="0"/>
        <v>Wed</v>
      </c>
      <c r="AK7" s="16" t="str">
        <f t="shared" si="0"/>
        <v>Thu</v>
      </c>
      <c r="AL7" s="16" t="str">
        <f t="shared" si="0"/>
        <v>Fri</v>
      </c>
      <c r="AM7" s="16" t="str">
        <f t="shared" si="0"/>
        <v>Sat</v>
      </c>
      <c r="AN7" s="16" t="str">
        <f t="shared" si="0"/>
        <v>Sun</v>
      </c>
      <c r="AO7" s="17" t="str">
        <f t="shared" si="0"/>
        <v/>
      </c>
      <c r="AP7" s="31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/>
      <c r="B8"/>
      <c r="C8"/>
      <c r="D8" s="29"/>
      <c r="F8" s="31"/>
      <c r="G8" s="9" t="s">
        <v>23</v>
      </c>
      <c r="H8" s="10" t="s">
        <v>24</v>
      </c>
      <c r="I8" s="11" t="s">
        <v>25</v>
      </c>
      <c r="J8" s="12" t="s">
        <v>26</v>
      </c>
      <c r="K8" s="13">
        <f>H5</f>
        <v>45962</v>
      </c>
      <c r="L8" s="13">
        <f>IF(K8&lt;$L$5,K8+1,"")</f>
        <v>45963</v>
      </c>
      <c r="M8" s="13">
        <f t="shared" ref="M8:AO8" si="1">IF(L8&lt;$L$5,L8+1,"")</f>
        <v>45964</v>
      </c>
      <c r="N8" s="13">
        <f t="shared" si="1"/>
        <v>45965</v>
      </c>
      <c r="O8" s="13">
        <f t="shared" si="1"/>
        <v>45966</v>
      </c>
      <c r="P8" s="13">
        <f t="shared" si="1"/>
        <v>45967</v>
      </c>
      <c r="Q8" s="13">
        <f t="shared" si="1"/>
        <v>45968</v>
      </c>
      <c r="R8" s="13">
        <f t="shared" si="1"/>
        <v>45969</v>
      </c>
      <c r="S8" s="13">
        <f t="shared" si="1"/>
        <v>45970</v>
      </c>
      <c r="T8" s="13">
        <f t="shared" si="1"/>
        <v>45971</v>
      </c>
      <c r="U8" s="13">
        <f t="shared" si="1"/>
        <v>45972</v>
      </c>
      <c r="V8" s="13">
        <f t="shared" si="1"/>
        <v>45973</v>
      </c>
      <c r="W8" s="13">
        <f t="shared" si="1"/>
        <v>45974</v>
      </c>
      <c r="X8" s="13">
        <f t="shared" si="1"/>
        <v>45975</v>
      </c>
      <c r="Y8" s="13">
        <f t="shared" si="1"/>
        <v>45976</v>
      </c>
      <c r="Z8" s="13">
        <f t="shared" si="1"/>
        <v>45977</v>
      </c>
      <c r="AA8" s="13">
        <f t="shared" si="1"/>
        <v>45978</v>
      </c>
      <c r="AB8" s="13">
        <f t="shared" si="1"/>
        <v>45979</v>
      </c>
      <c r="AC8" s="13">
        <f t="shared" si="1"/>
        <v>45980</v>
      </c>
      <c r="AD8" s="13">
        <f t="shared" si="1"/>
        <v>45981</v>
      </c>
      <c r="AE8" s="13">
        <f t="shared" si="1"/>
        <v>45982</v>
      </c>
      <c r="AF8" s="13">
        <f t="shared" si="1"/>
        <v>45983</v>
      </c>
      <c r="AG8" s="13">
        <f t="shared" si="1"/>
        <v>45984</v>
      </c>
      <c r="AH8" s="13">
        <f t="shared" si="1"/>
        <v>45985</v>
      </c>
      <c r="AI8" s="13">
        <f t="shared" si="1"/>
        <v>45986</v>
      </c>
      <c r="AJ8" s="13">
        <f t="shared" si="1"/>
        <v>45987</v>
      </c>
      <c r="AK8" s="13">
        <f t="shared" si="1"/>
        <v>45988</v>
      </c>
      <c r="AL8" s="13">
        <f t="shared" si="1"/>
        <v>45989</v>
      </c>
      <c r="AM8" s="13">
        <f t="shared" si="1"/>
        <v>45990</v>
      </c>
      <c r="AN8" s="13">
        <f t="shared" si="1"/>
        <v>45991</v>
      </c>
      <c r="AO8" s="14" t="str">
        <f t="shared" si="1"/>
        <v/>
      </c>
      <c r="AP8" s="32"/>
      <c r="AQ8" s="35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36"/>
    </row>
    <row r="9" spans="1:59" ht="16.5" thickTop="1" x14ac:dyDescent="0.25">
      <c r="A9"/>
      <c r="B9"/>
      <c r="C9"/>
      <c r="D9" s="29"/>
      <c r="F9" s="31"/>
      <c r="G9" s="3">
        <v>1</v>
      </c>
      <c r="H9" s="4">
        <v>1001</v>
      </c>
      <c r="I9" s="5" t="s">
        <v>3</v>
      </c>
      <c r="J9" s="37">
        <f>COUNTIF($K$7:$AO$7,"Sun")</f>
        <v>5</v>
      </c>
      <c r="K9" s="38" t="s">
        <v>44</v>
      </c>
      <c r="L9" s="38" t="str">
        <f t="shared" ref="L9:AN17" si="2">IF(L$7="Sun","WO","")</f>
        <v>WO</v>
      </c>
      <c r="M9" s="38" t="s">
        <v>43</v>
      </c>
      <c r="N9" s="38" t="s">
        <v>43</v>
      </c>
      <c r="O9" s="38" t="s">
        <v>43</v>
      </c>
      <c r="P9" s="38" t="s">
        <v>42</v>
      </c>
      <c r="Q9" s="38" t="s">
        <v>43</v>
      </c>
      <c r="R9" s="38" t="s">
        <v>43</v>
      </c>
      <c r="S9" s="38" t="str">
        <f t="shared" si="2"/>
        <v>WO</v>
      </c>
      <c r="T9" s="38" t="s">
        <v>43</v>
      </c>
      <c r="U9" s="38" t="s">
        <v>44</v>
      </c>
      <c r="V9" s="38" t="s">
        <v>43</v>
      </c>
      <c r="W9" s="38" t="s">
        <v>42</v>
      </c>
      <c r="X9" s="38" t="s">
        <v>43</v>
      </c>
      <c r="Y9" s="38" t="s">
        <v>43</v>
      </c>
      <c r="Z9" s="38" t="str">
        <f t="shared" si="2"/>
        <v>WO</v>
      </c>
      <c r="AA9" s="38" t="s">
        <v>43</v>
      </c>
      <c r="AB9" s="38" t="s">
        <v>43</v>
      </c>
      <c r="AC9" s="38" t="s">
        <v>43</v>
      </c>
      <c r="AD9" s="38" t="s">
        <v>43</v>
      </c>
      <c r="AE9" s="38" t="s">
        <v>43</v>
      </c>
      <c r="AF9" s="38" t="s">
        <v>43</v>
      </c>
      <c r="AG9" s="38" t="str">
        <f t="shared" si="2"/>
        <v>WO</v>
      </c>
      <c r="AH9" s="38" t="s">
        <v>43</v>
      </c>
      <c r="AI9" s="38" t="s">
        <v>43</v>
      </c>
      <c r="AJ9" s="38" t="s">
        <v>43</v>
      </c>
      <c r="AK9" s="38" t="s">
        <v>42</v>
      </c>
      <c r="AL9" s="38" t="s">
        <v>43</v>
      </c>
      <c r="AM9" s="38" t="s">
        <v>43</v>
      </c>
      <c r="AN9" s="38" t="str">
        <f t="shared" si="2"/>
        <v>WO</v>
      </c>
      <c r="AO9" s="39"/>
      <c r="AP9" s="31"/>
      <c r="AQ9" s="36"/>
      <c r="AR9" s="19">
        <v>1</v>
      </c>
      <c r="AS9" s="19">
        <v>1001</v>
      </c>
      <c r="AT9" s="19" t="str">
        <f t="shared" ref="AT9:AT28" si="3">$J$5</f>
        <v>November</v>
      </c>
      <c r="AU9" s="19" t="s">
        <v>3</v>
      </c>
      <c r="AV9" s="26">
        <f t="shared" ref="AV9:AV28" si="4">COUNTIF($K9:$AO9,"*P*")</f>
        <v>20</v>
      </c>
      <c r="AW9" s="20">
        <f t="shared" ref="AW9:AW28" si="5">COUNTIF($K9:$AO9,"*A*")</f>
        <v>2</v>
      </c>
      <c r="AX9" s="20">
        <f t="shared" ref="AX9:AX28" si="6">COUNTIF($K9:$AO9,"L")</f>
        <v>3</v>
      </c>
      <c r="AY9" s="20">
        <f t="shared" ref="AY9:AY28" si="7">$J$9</f>
        <v>5</v>
      </c>
      <c r="AZ9" s="20">
        <f t="shared" ref="AZ9:AZ28" si="8">$I$5</f>
        <v>30</v>
      </c>
      <c r="BA9" s="20">
        <f>Nov_Month[[#This Row],[Days]]-Nov_Month[[#This Row],[Absent]]</f>
        <v>28</v>
      </c>
      <c r="BB9" s="21">
        <v>10000</v>
      </c>
      <c r="BC9" s="21">
        <f>Nov_Month[[#This Row],[Salary]]/Nov_Month[[#This Row],[Days]]</f>
        <v>333.33333333333331</v>
      </c>
      <c r="BD9" s="24">
        <f>Nov_Month[[#This Row],[PerDay Salary]]*Nov_Month[[#This Row],[Absent]]</f>
        <v>666.66666666666663</v>
      </c>
      <c r="BE9" s="23">
        <f>Nov_Month[[#This Row],[Salary]]-Nov_Month[[#This Row],[Deduction]]</f>
        <v>9333.3333333333339</v>
      </c>
      <c r="BF9" s="22"/>
      <c r="BG9" s="36"/>
    </row>
    <row r="10" spans="1:59" ht="15.75" x14ac:dyDescent="0.25">
      <c r="A10"/>
      <c r="B10"/>
      <c r="C10"/>
      <c r="D10" s="29"/>
      <c r="F10" s="31"/>
      <c r="G10" s="3">
        <v>2</v>
      </c>
      <c r="H10" s="4">
        <v>1002</v>
      </c>
      <c r="I10" s="5" t="s">
        <v>4</v>
      </c>
      <c r="J10" s="37">
        <f t="shared" ref="J10:J28" si="9">COUNTIF($K$7:$AO$7,"Sun")</f>
        <v>5</v>
      </c>
      <c r="K10" s="38" t="s">
        <v>43</v>
      </c>
      <c r="L10" s="38" t="str">
        <f t="shared" si="2"/>
        <v>WO</v>
      </c>
      <c r="M10" s="38" t="s">
        <v>44</v>
      </c>
      <c r="N10" s="38" t="s">
        <v>43</v>
      </c>
      <c r="O10" s="38" t="s">
        <v>43</v>
      </c>
      <c r="P10" s="38" t="s">
        <v>42</v>
      </c>
      <c r="Q10" s="38" t="s">
        <v>43</v>
      </c>
      <c r="R10" s="38" t="s">
        <v>43</v>
      </c>
      <c r="S10" s="38" t="str">
        <f t="shared" si="2"/>
        <v>WO</v>
      </c>
      <c r="T10" s="38" t="s">
        <v>43</v>
      </c>
      <c r="U10" s="38" t="s">
        <v>43</v>
      </c>
      <c r="V10" s="38" t="s">
        <v>43</v>
      </c>
      <c r="W10" s="38" t="s">
        <v>42</v>
      </c>
      <c r="X10" s="38" t="s">
        <v>43</v>
      </c>
      <c r="Y10" s="38" t="s">
        <v>43</v>
      </c>
      <c r="Z10" s="38" t="str">
        <f t="shared" si="2"/>
        <v>WO</v>
      </c>
      <c r="AA10" s="38" t="s">
        <v>43</v>
      </c>
      <c r="AB10" s="38" t="s">
        <v>43</v>
      </c>
      <c r="AC10" s="38" t="s">
        <v>43</v>
      </c>
      <c r="AD10" s="38" t="s">
        <v>43</v>
      </c>
      <c r="AE10" s="38" t="s">
        <v>43</v>
      </c>
      <c r="AF10" s="38" t="s">
        <v>43</v>
      </c>
      <c r="AG10" s="38" t="str">
        <f t="shared" si="2"/>
        <v>WO</v>
      </c>
      <c r="AH10" s="38" t="s">
        <v>43</v>
      </c>
      <c r="AI10" s="38" t="s">
        <v>43</v>
      </c>
      <c r="AJ10" s="38" t="s">
        <v>43</v>
      </c>
      <c r="AK10" s="38" t="s">
        <v>42</v>
      </c>
      <c r="AL10" s="38" t="s">
        <v>43</v>
      </c>
      <c r="AM10" s="38" t="s">
        <v>43</v>
      </c>
      <c r="AN10" s="38" t="str">
        <f t="shared" si="2"/>
        <v>WO</v>
      </c>
      <c r="AO10" s="39"/>
      <c r="AP10" s="31"/>
      <c r="AQ10" s="36"/>
      <c r="AR10" s="19">
        <v>2</v>
      </c>
      <c r="AS10" s="19">
        <v>1002</v>
      </c>
      <c r="AT10" s="19" t="str">
        <f t="shared" si="3"/>
        <v>November</v>
      </c>
      <c r="AU10" s="19" t="s">
        <v>4</v>
      </c>
      <c r="AV10" s="27">
        <f t="shared" si="4"/>
        <v>21</v>
      </c>
      <c r="AW10" s="22">
        <f t="shared" si="5"/>
        <v>1</v>
      </c>
      <c r="AX10" s="22">
        <f t="shared" si="6"/>
        <v>3</v>
      </c>
      <c r="AY10" s="22">
        <f t="shared" si="7"/>
        <v>5</v>
      </c>
      <c r="AZ10" s="22">
        <f t="shared" si="8"/>
        <v>30</v>
      </c>
      <c r="BA10" s="22">
        <f>Nov_Month[[#This Row],[Days]]-Nov_Month[[#This Row],[Absent]]</f>
        <v>29</v>
      </c>
      <c r="BB10" s="23">
        <v>20000</v>
      </c>
      <c r="BC10" s="23">
        <f>Nov_Month[[#This Row],[Salary]]/Nov_Month[[#This Row],[Days]]</f>
        <v>666.66666666666663</v>
      </c>
      <c r="BD10" s="24">
        <f>Nov_Month[[#This Row],[PerDay Salary]]*Nov_Month[[#This Row],[Absent]]</f>
        <v>666.66666666666663</v>
      </c>
      <c r="BE10" s="23">
        <f>Nov_Month[[#This Row],[Salary]]-Nov_Month[[#This Row],[Deduction]]</f>
        <v>19333.333333333332</v>
      </c>
      <c r="BF10" s="22"/>
      <c r="BG10" s="36"/>
    </row>
    <row r="11" spans="1:59" ht="15.75" x14ac:dyDescent="0.25">
      <c r="A11"/>
      <c r="B11"/>
      <c r="C11"/>
      <c r="D11" s="29"/>
      <c r="F11" s="31"/>
      <c r="G11" s="3">
        <v>3</v>
      </c>
      <c r="H11" s="4">
        <v>1003</v>
      </c>
      <c r="I11" s="5" t="s">
        <v>5</v>
      </c>
      <c r="J11" s="37">
        <f t="shared" si="9"/>
        <v>5</v>
      </c>
      <c r="K11" s="38" t="s">
        <v>43</v>
      </c>
      <c r="L11" s="38" t="str">
        <f t="shared" si="2"/>
        <v>WO</v>
      </c>
      <c r="M11" s="38" t="s">
        <v>43</v>
      </c>
      <c r="N11" s="38" t="s">
        <v>44</v>
      </c>
      <c r="O11" s="38" t="s">
        <v>43</v>
      </c>
      <c r="P11" s="38" t="s">
        <v>42</v>
      </c>
      <c r="Q11" s="38" t="s">
        <v>43</v>
      </c>
      <c r="R11" s="38" t="s">
        <v>43</v>
      </c>
      <c r="S11" s="38" t="str">
        <f t="shared" si="2"/>
        <v>WO</v>
      </c>
      <c r="T11" s="38" t="s">
        <v>43</v>
      </c>
      <c r="U11" s="38" t="s">
        <v>43</v>
      </c>
      <c r="V11" s="38" t="s">
        <v>43</v>
      </c>
      <c r="W11" s="38" t="s">
        <v>42</v>
      </c>
      <c r="X11" s="38" t="s">
        <v>43</v>
      </c>
      <c r="Y11" s="38" t="s">
        <v>43</v>
      </c>
      <c r="Z11" s="38" t="str">
        <f t="shared" si="2"/>
        <v>WO</v>
      </c>
      <c r="AA11" s="38" t="s">
        <v>43</v>
      </c>
      <c r="AB11" s="38" t="s">
        <v>43</v>
      </c>
      <c r="AC11" s="38" t="s">
        <v>43</v>
      </c>
      <c r="AD11" s="38" t="s">
        <v>43</v>
      </c>
      <c r="AE11" s="38" t="s">
        <v>43</v>
      </c>
      <c r="AF11" s="38" t="s">
        <v>43</v>
      </c>
      <c r="AG11" s="38" t="str">
        <f t="shared" si="2"/>
        <v>WO</v>
      </c>
      <c r="AH11" s="38" t="s">
        <v>43</v>
      </c>
      <c r="AI11" s="38" t="s">
        <v>43</v>
      </c>
      <c r="AJ11" s="38" t="s">
        <v>43</v>
      </c>
      <c r="AK11" s="38" t="s">
        <v>42</v>
      </c>
      <c r="AL11" s="38" t="s">
        <v>43</v>
      </c>
      <c r="AM11" s="38" t="s">
        <v>43</v>
      </c>
      <c r="AN11" s="38" t="str">
        <f t="shared" si="2"/>
        <v>WO</v>
      </c>
      <c r="AO11" s="39"/>
      <c r="AP11" s="31"/>
      <c r="AQ11" s="36"/>
      <c r="AR11" s="19">
        <v>3</v>
      </c>
      <c r="AS11" s="19">
        <v>1003</v>
      </c>
      <c r="AT11" s="19" t="str">
        <f t="shared" si="3"/>
        <v>November</v>
      </c>
      <c r="AU11" s="19" t="s">
        <v>5</v>
      </c>
      <c r="AV11" s="27">
        <f t="shared" si="4"/>
        <v>21</v>
      </c>
      <c r="AW11" s="22">
        <f t="shared" si="5"/>
        <v>1</v>
      </c>
      <c r="AX11" s="22">
        <f t="shared" si="6"/>
        <v>3</v>
      </c>
      <c r="AY11" s="22">
        <f t="shared" si="7"/>
        <v>5</v>
      </c>
      <c r="AZ11" s="22">
        <f t="shared" si="8"/>
        <v>30</v>
      </c>
      <c r="BA11" s="22">
        <f>Nov_Month[[#This Row],[Days]]-Nov_Month[[#This Row],[Absent]]</f>
        <v>29</v>
      </c>
      <c r="BB11" s="23">
        <v>25000</v>
      </c>
      <c r="BC11" s="23">
        <f>Nov_Month[[#This Row],[Salary]]/Nov_Month[[#This Row],[Days]]</f>
        <v>833.33333333333337</v>
      </c>
      <c r="BD11" s="24">
        <f>Nov_Month[[#This Row],[PerDay Salary]]*Nov_Month[[#This Row],[Absent]]</f>
        <v>833.33333333333337</v>
      </c>
      <c r="BE11" s="23">
        <f>Nov_Month[[#This Row],[Salary]]-Nov_Month[[#This Row],[Deduction]]</f>
        <v>24166.666666666668</v>
      </c>
      <c r="BF11" s="22"/>
      <c r="BG11" s="36"/>
    </row>
    <row r="12" spans="1:59" ht="15.75" x14ac:dyDescent="0.25">
      <c r="A12"/>
      <c r="B12"/>
      <c r="C12"/>
      <c r="D12" s="29"/>
      <c r="F12" s="31"/>
      <c r="G12" s="3">
        <v>4</v>
      </c>
      <c r="H12" s="4">
        <v>1004</v>
      </c>
      <c r="I12" s="5" t="s">
        <v>6</v>
      </c>
      <c r="J12" s="37">
        <f t="shared" si="9"/>
        <v>5</v>
      </c>
      <c r="K12" s="38" t="s">
        <v>43</v>
      </c>
      <c r="L12" s="38" t="str">
        <f t="shared" si="2"/>
        <v>WO</v>
      </c>
      <c r="M12" s="38" t="s">
        <v>43</v>
      </c>
      <c r="N12" s="38" t="s">
        <v>43</v>
      </c>
      <c r="O12" s="38" t="s">
        <v>44</v>
      </c>
      <c r="P12" s="38" t="s">
        <v>42</v>
      </c>
      <c r="Q12" s="38" t="s">
        <v>43</v>
      </c>
      <c r="R12" s="38" t="s">
        <v>43</v>
      </c>
      <c r="S12" s="38" t="str">
        <f t="shared" si="2"/>
        <v>WO</v>
      </c>
      <c r="T12" s="38" t="s">
        <v>43</v>
      </c>
      <c r="U12" s="38" t="s">
        <v>43</v>
      </c>
      <c r="V12" s="38" t="s">
        <v>43</v>
      </c>
      <c r="W12" s="38" t="s">
        <v>42</v>
      </c>
      <c r="X12" s="38" t="s">
        <v>43</v>
      </c>
      <c r="Y12" s="38" t="s">
        <v>43</v>
      </c>
      <c r="Z12" s="38" t="str">
        <f t="shared" si="2"/>
        <v>WO</v>
      </c>
      <c r="AA12" s="38" t="s">
        <v>43</v>
      </c>
      <c r="AB12" s="38" t="s">
        <v>43</v>
      </c>
      <c r="AC12" s="38" t="s">
        <v>43</v>
      </c>
      <c r="AD12" s="38" t="s">
        <v>43</v>
      </c>
      <c r="AE12" s="38" t="s">
        <v>43</v>
      </c>
      <c r="AF12" s="38" t="s">
        <v>43</v>
      </c>
      <c r="AG12" s="38" t="str">
        <f t="shared" si="2"/>
        <v>WO</v>
      </c>
      <c r="AH12" s="38" t="s">
        <v>43</v>
      </c>
      <c r="AI12" s="38" t="s">
        <v>43</v>
      </c>
      <c r="AJ12" s="38" t="s">
        <v>43</v>
      </c>
      <c r="AK12" s="38" t="s">
        <v>42</v>
      </c>
      <c r="AL12" s="38" t="s">
        <v>44</v>
      </c>
      <c r="AM12" s="38" t="s">
        <v>43</v>
      </c>
      <c r="AN12" s="38" t="str">
        <f t="shared" si="2"/>
        <v>WO</v>
      </c>
      <c r="AO12" s="39"/>
      <c r="AP12" s="31"/>
      <c r="AQ12" s="36"/>
      <c r="AR12" s="19">
        <v>4</v>
      </c>
      <c r="AS12" s="19">
        <v>1004</v>
      </c>
      <c r="AT12" s="19" t="str">
        <f t="shared" si="3"/>
        <v>November</v>
      </c>
      <c r="AU12" s="19" t="s">
        <v>6</v>
      </c>
      <c r="AV12" s="27">
        <f t="shared" si="4"/>
        <v>20</v>
      </c>
      <c r="AW12" s="22">
        <f t="shared" si="5"/>
        <v>2</v>
      </c>
      <c r="AX12" s="22">
        <f t="shared" si="6"/>
        <v>3</v>
      </c>
      <c r="AY12" s="22">
        <f t="shared" si="7"/>
        <v>5</v>
      </c>
      <c r="AZ12" s="22">
        <f t="shared" si="8"/>
        <v>30</v>
      </c>
      <c r="BA12" s="22">
        <f>Nov_Month[[#This Row],[Days]]-Nov_Month[[#This Row],[Absent]]</f>
        <v>28</v>
      </c>
      <c r="BB12" s="23">
        <v>30000</v>
      </c>
      <c r="BC12" s="23">
        <f>Nov_Month[[#This Row],[Salary]]/Nov_Month[[#This Row],[Days]]</f>
        <v>1000</v>
      </c>
      <c r="BD12" s="24">
        <f>Nov_Month[[#This Row],[PerDay Salary]]*Nov_Month[[#This Row],[Absent]]</f>
        <v>2000</v>
      </c>
      <c r="BE12" s="23">
        <f>Nov_Month[[#This Row],[Salary]]-Nov_Month[[#This Row],[Deduction]]</f>
        <v>28000</v>
      </c>
      <c r="BF12" s="22"/>
      <c r="BG12" s="36"/>
    </row>
    <row r="13" spans="1:59" ht="15.75" x14ac:dyDescent="0.25">
      <c r="A13"/>
      <c r="B13"/>
      <c r="C13"/>
      <c r="D13" s="29"/>
      <c r="F13" s="31"/>
      <c r="G13" s="3">
        <v>5</v>
      </c>
      <c r="H13" s="4">
        <v>1005</v>
      </c>
      <c r="I13" s="5" t="s">
        <v>7</v>
      </c>
      <c r="J13" s="37">
        <f t="shared" si="9"/>
        <v>5</v>
      </c>
      <c r="K13" s="38" t="s">
        <v>43</v>
      </c>
      <c r="L13" s="38" t="str">
        <f t="shared" si="2"/>
        <v>WO</v>
      </c>
      <c r="M13" s="38" t="s">
        <v>43</v>
      </c>
      <c r="N13" s="38" t="s">
        <v>43</v>
      </c>
      <c r="O13" s="38" t="s">
        <v>43</v>
      </c>
      <c r="P13" s="38" t="s">
        <v>42</v>
      </c>
      <c r="Q13" s="38" t="s">
        <v>44</v>
      </c>
      <c r="R13" s="38" t="s">
        <v>43</v>
      </c>
      <c r="S13" s="38" t="str">
        <f t="shared" si="2"/>
        <v>WO</v>
      </c>
      <c r="T13" s="38" t="s">
        <v>43</v>
      </c>
      <c r="U13" s="38" t="s">
        <v>43</v>
      </c>
      <c r="V13" s="38" t="s">
        <v>43</v>
      </c>
      <c r="W13" s="38" t="s">
        <v>42</v>
      </c>
      <c r="X13" s="38" t="s">
        <v>43</v>
      </c>
      <c r="Y13" s="38" t="s">
        <v>43</v>
      </c>
      <c r="Z13" s="38" t="str">
        <f t="shared" si="2"/>
        <v>WO</v>
      </c>
      <c r="AA13" s="38" t="s">
        <v>43</v>
      </c>
      <c r="AB13" s="38" t="s">
        <v>43</v>
      </c>
      <c r="AC13" s="38" t="s">
        <v>43</v>
      </c>
      <c r="AD13" s="38" t="s">
        <v>43</v>
      </c>
      <c r="AE13" s="38" t="s">
        <v>43</v>
      </c>
      <c r="AF13" s="38" t="s">
        <v>43</v>
      </c>
      <c r="AG13" s="38" t="str">
        <f t="shared" si="2"/>
        <v>WO</v>
      </c>
      <c r="AH13" s="38" t="s">
        <v>43</v>
      </c>
      <c r="AI13" s="38" t="s">
        <v>43</v>
      </c>
      <c r="AJ13" s="38" t="s">
        <v>43</v>
      </c>
      <c r="AK13" s="38" t="s">
        <v>42</v>
      </c>
      <c r="AL13" s="38" t="s">
        <v>43</v>
      </c>
      <c r="AM13" s="38" t="s">
        <v>43</v>
      </c>
      <c r="AN13" s="38" t="str">
        <f t="shared" si="2"/>
        <v>WO</v>
      </c>
      <c r="AO13" s="39"/>
      <c r="AP13" s="31"/>
      <c r="AQ13" s="36"/>
      <c r="AR13" s="19">
        <v>5</v>
      </c>
      <c r="AS13" s="19">
        <v>1005</v>
      </c>
      <c r="AT13" s="19" t="str">
        <f t="shared" si="3"/>
        <v>November</v>
      </c>
      <c r="AU13" s="19" t="s">
        <v>7</v>
      </c>
      <c r="AV13" s="27">
        <f t="shared" si="4"/>
        <v>21</v>
      </c>
      <c r="AW13" s="22">
        <f t="shared" si="5"/>
        <v>1</v>
      </c>
      <c r="AX13" s="22">
        <f t="shared" si="6"/>
        <v>3</v>
      </c>
      <c r="AY13" s="22">
        <f t="shared" si="7"/>
        <v>5</v>
      </c>
      <c r="AZ13" s="22">
        <f t="shared" si="8"/>
        <v>30</v>
      </c>
      <c r="BA13" s="22">
        <f>Nov_Month[[#This Row],[Days]]-Nov_Month[[#This Row],[Absent]]</f>
        <v>29</v>
      </c>
      <c r="BB13" s="23">
        <v>45000</v>
      </c>
      <c r="BC13" s="23">
        <f>Nov_Month[[#This Row],[Salary]]/Nov_Month[[#This Row],[Days]]</f>
        <v>1500</v>
      </c>
      <c r="BD13" s="24">
        <f>Nov_Month[[#This Row],[PerDay Salary]]*Nov_Month[[#This Row],[Absent]]</f>
        <v>1500</v>
      </c>
      <c r="BE13" s="23">
        <f>Nov_Month[[#This Row],[Salary]]-Nov_Month[[#This Row],[Deduction]]</f>
        <v>43500</v>
      </c>
      <c r="BF13" s="22"/>
      <c r="BG13" s="36"/>
    </row>
    <row r="14" spans="1:59" ht="15.75" x14ac:dyDescent="0.25">
      <c r="A14"/>
      <c r="B14"/>
      <c r="C14"/>
      <c r="D14" s="29"/>
      <c r="F14" s="31"/>
      <c r="G14" s="3">
        <v>6</v>
      </c>
      <c r="H14" s="4">
        <v>1006</v>
      </c>
      <c r="I14" s="5" t="s">
        <v>8</v>
      </c>
      <c r="J14" s="37">
        <f t="shared" si="9"/>
        <v>5</v>
      </c>
      <c r="K14" s="38" t="s">
        <v>43</v>
      </c>
      <c r="L14" s="38" t="str">
        <f t="shared" si="2"/>
        <v>WO</v>
      </c>
      <c r="M14" s="38" t="s">
        <v>43</v>
      </c>
      <c r="N14" s="38" t="s">
        <v>43</v>
      </c>
      <c r="O14" s="38" t="s">
        <v>43</v>
      </c>
      <c r="P14" s="38" t="s">
        <v>42</v>
      </c>
      <c r="Q14" s="38" t="s">
        <v>43</v>
      </c>
      <c r="R14" s="38" t="s">
        <v>44</v>
      </c>
      <c r="S14" s="38" t="str">
        <f t="shared" si="2"/>
        <v>WO</v>
      </c>
      <c r="T14" s="38" t="s">
        <v>43</v>
      </c>
      <c r="U14" s="38" t="s">
        <v>43</v>
      </c>
      <c r="V14" s="38" t="s">
        <v>43</v>
      </c>
      <c r="W14" s="38" t="s">
        <v>42</v>
      </c>
      <c r="X14" s="38" t="s">
        <v>43</v>
      </c>
      <c r="Y14" s="38" t="s">
        <v>43</v>
      </c>
      <c r="Z14" s="38" t="str">
        <f t="shared" si="2"/>
        <v>WO</v>
      </c>
      <c r="AA14" s="38" t="s">
        <v>43</v>
      </c>
      <c r="AB14" s="38" t="s">
        <v>43</v>
      </c>
      <c r="AC14" s="38" t="s">
        <v>43</v>
      </c>
      <c r="AD14" s="38" t="s">
        <v>43</v>
      </c>
      <c r="AE14" s="38" t="s">
        <v>43</v>
      </c>
      <c r="AF14" s="38" t="s">
        <v>43</v>
      </c>
      <c r="AG14" s="38" t="str">
        <f t="shared" si="2"/>
        <v>WO</v>
      </c>
      <c r="AH14" s="38" t="s">
        <v>43</v>
      </c>
      <c r="AI14" s="38" t="s">
        <v>43</v>
      </c>
      <c r="AJ14" s="38" t="s">
        <v>43</v>
      </c>
      <c r="AK14" s="38" t="s">
        <v>42</v>
      </c>
      <c r="AL14" s="38" t="s">
        <v>43</v>
      </c>
      <c r="AM14" s="38" t="s">
        <v>43</v>
      </c>
      <c r="AN14" s="38" t="str">
        <f t="shared" si="2"/>
        <v>WO</v>
      </c>
      <c r="AO14" s="39"/>
      <c r="AP14" s="31"/>
      <c r="AQ14" s="36"/>
      <c r="AR14" s="19">
        <v>6</v>
      </c>
      <c r="AS14" s="19">
        <v>1006</v>
      </c>
      <c r="AT14" s="19" t="str">
        <f t="shared" si="3"/>
        <v>November</v>
      </c>
      <c r="AU14" s="19" t="s">
        <v>8</v>
      </c>
      <c r="AV14" s="27">
        <f t="shared" si="4"/>
        <v>21</v>
      </c>
      <c r="AW14" s="22">
        <f t="shared" si="5"/>
        <v>1</v>
      </c>
      <c r="AX14" s="22">
        <f t="shared" si="6"/>
        <v>3</v>
      </c>
      <c r="AY14" s="22">
        <f t="shared" si="7"/>
        <v>5</v>
      </c>
      <c r="AZ14" s="22">
        <f t="shared" si="8"/>
        <v>30</v>
      </c>
      <c r="BA14" s="22">
        <f>Nov_Month[[#This Row],[Days]]-Nov_Month[[#This Row],[Absent]]</f>
        <v>29</v>
      </c>
      <c r="BB14" s="23">
        <v>15000</v>
      </c>
      <c r="BC14" s="23">
        <f>Nov_Month[[#This Row],[Salary]]/Nov_Month[[#This Row],[Days]]</f>
        <v>500</v>
      </c>
      <c r="BD14" s="24">
        <f>Nov_Month[[#This Row],[PerDay Salary]]*Nov_Month[[#This Row],[Absent]]</f>
        <v>500</v>
      </c>
      <c r="BE14" s="23">
        <f>Nov_Month[[#This Row],[Salary]]-Nov_Month[[#This Row],[Deduction]]</f>
        <v>14500</v>
      </c>
      <c r="BF14" s="22"/>
      <c r="BG14" s="36"/>
    </row>
    <row r="15" spans="1:59" ht="15.75" x14ac:dyDescent="0.25">
      <c r="A15"/>
      <c r="B15"/>
      <c r="C15"/>
      <c r="D15" s="29"/>
      <c r="F15" s="31"/>
      <c r="G15" s="3">
        <v>7</v>
      </c>
      <c r="H15" s="4">
        <v>1007</v>
      </c>
      <c r="I15" s="5" t="s">
        <v>9</v>
      </c>
      <c r="J15" s="37">
        <f t="shared" si="9"/>
        <v>5</v>
      </c>
      <c r="K15" s="38" t="s">
        <v>43</v>
      </c>
      <c r="L15" s="38" t="str">
        <f t="shared" si="2"/>
        <v>WO</v>
      </c>
      <c r="M15" s="38" t="s">
        <v>43</v>
      </c>
      <c r="N15" s="38" t="s">
        <v>43</v>
      </c>
      <c r="O15" s="38" t="s">
        <v>43</v>
      </c>
      <c r="P15" s="38" t="s">
        <v>42</v>
      </c>
      <c r="Q15" s="38" t="s">
        <v>43</v>
      </c>
      <c r="R15" s="38" t="s">
        <v>43</v>
      </c>
      <c r="S15" s="38" t="str">
        <f t="shared" si="2"/>
        <v>WO</v>
      </c>
      <c r="T15" s="38" t="s">
        <v>44</v>
      </c>
      <c r="U15" s="38" t="s">
        <v>43</v>
      </c>
      <c r="V15" s="38" t="s">
        <v>43</v>
      </c>
      <c r="W15" s="38" t="s">
        <v>42</v>
      </c>
      <c r="X15" s="38" t="s">
        <v>43</v>
      </c>
      <c r="Y15" s="38" t="s">
        <v>43</v>
      </c>
      <c r="Z15" s="38" t="str">
        <f t="shared" si="2"/>
        <v>WO</v>
      </c>
      <c r="AA15" s="38" t="s">
        <v>43</v>
      </c>
      <c r="AB15" s="38" t="s">
        <v>43</v>
      </c>
      <c r="AC15" s="38" t="s">
        <v>43</v>
      </c>
      <c r="AD15" s="38" t="s">
        <v>43</v>
      </c>
      <c r="AE15" s="38" t="s">
        <v>43</v>
      </c>
      <c r="AF15" s="38" t="s">
        <v>43</v>
      </c>
      <c r="AG15" s="38" t="str">
        <f t="shared" si="2"/>
        <v>WO</v>
      </c>
      <c r="AH15" s="38" t="s">
        <v>43</v>
      </c>
      <c r="AI15" s="38" t="s">
        <v>43</v>
      </c>
      <c r="AJ15" s="38" t="s">
        <v>43</v>
      </c>
      <c r="AK15" s="38" t="s">
        <v>42</v>
      </c>
      <c r="AL15" s="38" t="s">
        <v>43</v>
      </c>
      <c r="AM15" s="38" t="s">
        <v>43</v>
      </c>
      <c r="AN15" s="38" t="str">
        <f t="shared" si="2"/>
        <v>WO</v>
      </c>
      <c r="AO15" s="39"/>
      <c r="AP15" s="31"/>
      <c r="AQ15" s="36"/>
      <c r="AR15" s="19">
        <v>7</v>
      </c>
      <c r="AS15" s="19">
        <v>1007</v>
      </c>
      <c r="AT15" s="19" t="str">
        <f t="shared" si="3"/>
        <v>November</v>
      </c>
      <c r="AU15" s="19" t="s">
        <v>9</v>
      </c>
      <c r="AV15" s="27">
        <f t="shared" si="4"/>
        <v>21</v>
      </c>
      <c r="AW15" s="22">
        <f t="shared" si="5"/>
        <v>1</v>
      </c>
      <c r="AX15" s="22">
        <f t="shared" si="6"/>
        <v>3</v>
      </c>
      <c r="AY15" s="22">
        <f t="shared" si="7"/>
        <v>5</v>
      </c>
      <c r="AZ15" s="22">
        <f t="shared" si="8"/>
        <v>30</v>
      </c>
      <c r="BA15" s="22">
        <f>Nov_Month[[#This Row],[Days]]-Nov_Month[[#This Row],[Absent]]</f>
        <v>29</v>
      </c>
      <c r="BB15" s="23">
        <v>62000</v>
      </c>
      <c r="BC15" s="23">
        <f>Nov_Month[[#This Row],[Salary]]/Nov_Month[[#This Row],[Days]]</f>
        <v>2066.6666666666665</v>
      </c>
      <c r="BD15" s="24">
        <f>Nov_Month[[#This Row],[PerDay Salary]]*Nov_Month[[#This Row],[Absent]]</f>
        <v>2066.6666666666665</v>
      </c>
      <c r="BE15" s="23">
        <f>Nov_Month[[#This Row],[Salary]]-Nov_Month[[#This Row],[Deduction]]</f>
        <v>59933.333333333336</v>
      </c>
      <c r="BF15" s="22"/>
      <c r="BG15" s="36"/>
    </row>
    <row r="16" spans="1:59" ht="15.75" x14ac:dyDescent="0.25">
      <c r="A16"/>
      <c r="B16"/>
      <c r="C16"/>
      <c r="D16" s="29"/>
      <c r="F16" s="31"/>
      <c r="G16" s="3">
        <v>8</v>
      </c>
      <c r="H16" s="4">
        <v>1008</v>
      </c>
      <c r="I16" s="5" t="s">
        <v>10</v>
      </c>
      <c r="J16" s="37">
        <f t="shared" si="9"/>
        <v>5</v>
      </c>
      <c r="K16" s="38" t="s">
        <v>43</v>
      </c>
      <c r="L16" s="38" t="str">
        <f t="shared" si="2"/>
        <v>WO</v>
      </c>
      <c r="M16" s="38" t="s">
        <v>43</v>
      </c>
      <c r="N16" s="38" t="s">
        <v>43</v>
      </c>
      <c r="O16" s="38" t="s">
        <v>43</v>
      </c>
      <c r="P16" s="38" t="s">
        <v>42</v>
      </c>
      <c r="Q16" s="38" t="s">
        <v>43</v>
      </c>
      <c r="R16" s="38" t="s">
        <v>43</v>
      </c>
      <c r="S16" s="38" t="str">
        <f t="shared" si="2"/>
        <v>WO</v>
      </c>
      <c r="T16" s="38" t="s">
        <v>43</v>
      </c>
      <c r="U16" s="38" t="s">
        <v>44</v>
      </c>
      <c r="V16" s="38" t="s">
        <v>43</v>
      </c>
      <c r="W16" s="38" t="s">
        <v>42</v>
      </c>
      <c r="X16" s="38" t="s">
        <v>43</v>
      </c>
      <c r="Y16" s="38" t="s">
        <v>43</v>
      </c>
      <c r="Z16" s="38" t="str">
        <f t="shared" si="2"/>
        <v>WO</v>
      </c>
      <c r="AA16" s="38" t="s">
        <v>43</v>
      </c>
      <c r="AB16" s="38" t="s">
        <v>43</v>
      </c>
      <c r="AC16" s="38" t="s">
        <v>43</v>
      </c>
      <c r="AD16" s="38" t="s">
        <v>43</v>
      </c>
      <c r="AE16" s="38" t="s">
        <v>43</v>
      </c>
      <c r="AF16" s="38" t="s">
        <v>43</v>
      </c>
      <c r="AG16" s="38" t="str">
        <f t="shared" si="2"/>
        <v>WO</v>
      </c>
      <c r="AH16" s="38" t="s">
        <v>43</v>
      </c>
      <c r="AI16" s="38" t="s">
        <v>43</v>
      </c>
      <c r="AJ16" s="38" t="s">
        <v>43</v>
      </c>
      <c r="AK16" s="38" t="s">
        <v>42</v>
      </c>
      <c r="AL16" s="38" t="s">
        <v>43</v>
      </c>
      <c r="AM16" s="38" t="s">
        <v>43</v>
      </c>
      <c r="AN16" s="38" t="str">
        <f t="shared" si="2"/>
        <v>WO</v>
      </c>
      <c r="AO16" s="39"/>
      <c r="AP16" s="31"/>
      <c r="AQ16" s="36"/>
      <c r="AR16" s="19">
        <v>8</v>
      </c>
      <c r="AS16" s="19">
        <v>1008</v>
      </c>
      <c r="AT16" s="19" t="str">
        <f t="shared" si="3"/>
        <v>November</v>
      </c>
      <c r="AU16" s="19" t="s">
        <v>10</v>
      </c>
      <c r="AV16" s="27">
        <f t="shared" si="4"/>
        <v>21</v>
      </c>
      <c r="AW16" s="22">
        <f t="shared" si="5"/>
        <v>1</v>
      </c>
      <c r="AX16" s="22">
        <f t="shared" si="6"/>
        <v>3</v>
      </c>
      <c r="AY16" s="22">
        <f t="shared" si="7"/>
        <v>5</v>
      </c>
      <c r="AZ16" s="22">
        <f t="shared" si="8"/>
        <v>30</v>
      </c>
      <c r="BA16" s="22">
        <f>Nov_Month[[#This Row],[Days]]-Nov_Month[[#This Row],[Absent]]</f>
        <v>29</v>
      </c>
      <c r="BB16" s="23">
        <v>50000</v>
      </c>
      <c r="BC16" s="23">
        <f>Nov_Month[[#This Row],[Salary]]/Nov_Month[[#This Row],[Days]]</f>
        <v>1666.6666666666667</v>
      </c>
      <c r="BD16" s="24">
        <f>Nov_Month[[#This Row],[PerDay Salary]]*Nov_Month[[#This Row],[Absent]]</f>
        <v>1666.6666666666667</v>
      </c>
      <c r="BE16" s="23">
        <f>Nov_Month[[#This Row],[Salary]]-Nov_Month[[#This Row],[Deduction]]</f>
        <v>48333.333333333336</v>
      </c>
      <c r="BF16" s="22"/>
      <c r="BG16" s="36"/>
    </row>
    <row r="17" spans="1:59" ht="15.75" x14ac:dyDescent="0.25">
      <c r="A17"/>
      <c r="B17"/>
      <c r="C17"/>
      <c r="D17" s="29"/>
      <c r="F17" s="31"/>
      <c r="G17" s="3">
        <v>9</v>
      </c>
      <c r="H17" s="4">
        <v>1009</v>
      </c>
      <c r="I17" s="5" t="s">
        <v>11</v>
      </c>
      <c r="J17" s="37">
        <f t="shared" si="9"/>
        <v>5</v>
      </c>
      <c r="K17" s="38" t="s">
        <v>43</v>
      </c>
      <c r="L17" s="38" t="str">
        <f t="shared" si="2"/>
        <v>WO</v>
      </c>
      <c r="M17" s="38" t="s">
        <v>43</v>
      </c>
      <c r="N17" s="38" t="s">
        <v>43</v>
      </c>
      <c r="O17" s="38" t="s">
        <v>43</v>
      </c>
      <c r="P17" s="38" t="s">
        <v>42</v>
      </c>
      <c r="Q17" s="38" t="s">
        <v>43</v>
      </c>
      <c r="R17" s="38" t="s">
        <v>43</v>
      </c>
      <c r="S17" s="38" t="str">
        <f t="shared" si="2"/>
        <v>WO</v>
      </c>
      <c r="T17" s="38" t="s">
        <v>43</v>
      </c>
      <c r="U17" s="38" t="s">
        <v>43</v>
      </c>
      <c r="V17" s="38" t="s">
        <v>44</v>
      </c>
      <c r="W17" s="38" t="s">
        <v>42</v>
      </c>
      <c r="X17" s="38" t="s">
        <v>43</v>
      </c>
      <c r="Y17" s="38" t="s">
        <v>43</v>
      </c>
      <c r="Z17" s="38" t="str">
        <f t="shared" si="2"/>
        <v>WO</v>
      </c>
      <c r="AA17" s="38" t="s">
        <v>43</v>
      </c>
      <c r="AB17" s="38" t="s">
        <v>43</v>
      </c>
      <c r="AC17" s="38" t="s">
        <v>43</v>
      </c>
      <c r="AD17" s="38" t="s">
        <v>43</v>
      </c>
      <c r="AE17" s="38" t="s">
        <v>43</v>
      </c>
      <c r="AF17" s="38" t="s">
        <v>43</v>
      </c>
      <c r="AG17" s="38" t="str">
        <f t="shared" ref="AG17:AN17" si="10">IF(AG$7="Sun","WO","")</f>
        <v>WO</v>
      </c>
      <c r="AH17" s="38" t="s">
        <v>43</v>
      </c>
      <c r="AI17" s="38" t="s">
        <v>43</v>
      </c>
      <c r="AJ17" s="38" t="s">
        <v>43</v>
      </c>
      <c r="AK17" s="38" t="s">
        <v>42</v>
      </c>
      <c r="AL17" s="38" t="s">
        <v>43</v>
      </c>
      <c r="AM17" s="38" t="s">
        <v>43</v>
      </c>
      <c r="AN17" s="38" t="str">
        <f t="shared" si="10"/>
        <v>WO</v>
      </c>
      <c r="AO17" s="39"/>
      <c r="AP17" s="31"/>
      <c r="AQ17" s="36"/>
      <c r="AR17" s="19">
        <v>9</v>
      </c>
      <c r="AS17" s="19">
        <v>1009</v>
      </c>
      <c r="AT17" s="19" t="str">
        <f t="shared" si="3"/>
        <v>November</v>
      </c>
      <c r="AU17" s="19" t="s">
        <v>11</v>
      </c>
      <c r="AV17" s="27">
        <f t="shared" si="4"/>
        <v>21</v>
      </c>
      <c r="AW17" s="22">
        <f t="shared" si="5"/>
        <v>1</v>
      </c>
      <c r="AX17" s="22">
        <f t="shared" si="6"/>
        <v>3</v>
      </c>
      <c r="AY17" s="22">
        <f t="shared" si="7"/>
        <v>5</v>
      </c>
      <c r="AZ17" s="22">
        <f t="shared" si="8"/>
        <v>30</v>
      </c>
      <c r="BA17" s="22">
        <f>Nov_Month[[#This Row],[Days]]-Nov_Month[[#This Row],[Absent]]</f>
        <v>29</v>
      </c>
      <c r="BB17" s="23">
        <v>25000</v>
      </c>
      <c r="BC17" s="23">
        <f>Nov_Month[[#This Row],[Salary]]/Nov_Month[[#This Row],[Days]]</f>
        <v>833.33333333333337</v>
      </c>
      <c r="BD17" s="24">
        <f>Nov_Month[[#This Row],[PerDay Salary]]*Nov_Month[[#This Row],[Absent]]</f>
        <v>833.33333333333337</v>
      </c>
      <c r="BE17" s="23">
        <f>Nov_Month[[#This Row],[Salary]]-Nov_Month[[#This Row],[Deduction]]</f>
        <v>24166.666666666668</v>
      </c>
      <c r="BF17" s="22"/>
      <c r="BG17" s="36"/>
    </row>
    <row r="18" spans="1:59" ht="15.75" x14ac:dyDescent="0.25">
      <c r="A18"/>
      <c r="B18"/>
      <c r="C18"/>
      <c r="D18" s="29"/>
      <c r="F18" s="31"/>
      <c r="G18" s="3">
        <v>10</v>
      </c>
      <c r="H18" s="4">
        <v>1010</v>
      </c>
      <c r="I18" s="5" t="s">
        <v>12</v>
      </c>
      <c r="J18" s="37">
        <f t="shared" si="9"/>
        <v>5</v>
      </c>
      <c r="K18" s="38" t="s">
        <v>43</v>
      </c>
      <c r="L18" s="38" t="str">
        <f t="shared" ref="L18:Z28" si="11">IF(L$7="Sun","WO","")</f>
        <v>WO</v>
      </c>
      <c r="M18" s="38" t="s">
        <v>44</v>
      </c>
      <c r="N18" s="38" t="s">
        <v>43</v>
      </c>
      <c r="O18" s="38" t="s">
        <v>43</v>
      </c>
      <c r="P18" s="38" t="s">
        <v>42</v>
      </c>
      <c r="Q18" s="38" t="s">
        <v>43</v>
      </c>
      <c r="R18" s="38" t="s">
        <v>43</v>
      </c>
      <c r="S18" s="38" t="str">
        <f t="shared" si="11"/>
        <v>WO</v>
      </c>
      <c r="T18" s="38" t="s">
        <v>43</v>
      </c>
      <c r="U18" s="38" t="s">
        <v>43</v>
      </c>
      <c r="V18" s="38" t="s">
        <v>43</v>
      </c>
      <c r="W18" s="38" t="s">
        <v>42</v>
      </c>
      <c r="X18" s="38" t="s">
        <v>44</v>
      </c>
      <c r="Y18" s="38" t="s">
        <v>43</v>
      </c>
      <c r="Z18" s="38" t="str">
        <f t="shared" si="11"/>
        <v>WO</v>
      </c>
      <c r="AA18" s="38" t="s">
        <v>43</v>
      </c>
      <c r="AB18" s="38" t="s">
        <v>43</v>
      </c>
      <c r="AC18" s="38" t="s">
        <v>43</v>
      </c>
      <c r="AD18" s="38" t="s">
        <v>43</v>
      </c>
      <c r="AE18" s="38" t="s">
        <v>43</v>
      </c>
      <c r="AF18" s="38" t="s">
        <v>43</v>
      </c>
      <c r="AG18" s="38" t="str">
        <f t="shared" ref="AG18:AN28" si="12">IF(AG$7="Sun","WO","")</f>
        <v>WO</v>
      </c>
      <c r="AH18" s="38" t="s">
        <v>43</v>
      </c>
      <c r="AI18" s="38" t="s">
        <v>43</v>
      </c>
      <c r="AJ18" s="38" t="s">
        <v>43</v>
      </c>
      <c r="AK18" s="38" t="s">
        <v>42</v>
      </c>
      <c r="AL18" s="38" t="s">
        <v>43</v>
      </c>
      <c r="AM18" s="38" t="s">
        <v>43</v>
      </c>
      <c r="AN18" s="38" t="str">
        <f t="shared" si="12"/>
        <v>WO</v>
      </c>
      <c r="AO18" s="39"/>
      <c r="AP18" s="31"/>
      <c r="AQ18" s="36"/>
      <c r="AR18" s="19">
        <v>10</v>
      </c>
      <c r="AS18" s="19">
        <v>1010</v>
      </c>
      <c r="AT18" s="19" t="str">
        <f t="shared" si="3"/>
        <v>November</v>
      </c>
      <c r="AU18" s="19" t="s">
        <v>12</v>
      </c>
      <c r="AV18" s="27">
        <f t="shared" si="4"/>
        <v>20</v>
      </c>
      <c r="AW18" s="22">
        <f t="shared" si="5"/>
        <v>2</v>
      </c>
      <c r="AX18" s="22">
        <f t="shared" si="6"/>
        <v>3</v>
      </c>
      <c r="AY18" s="22">
        <f t="shared" si="7"/>
        <v>5</v>
      </c>
      <c r="AZ18" s="22">
        <f t="shared" si="8"/>
        <v>30</v>
      </c>
      <c r="BA18" s="22">
        <f>Nov_Month[[#This Row],[Days]]-Nov_Month[[#This Row],[Absent]]</f>
        <v>28</v>
      </c>
      <c r="BB18" s="23">
        <v>45000</v>
      </c>
      <c r="BC18" s="23">
        <f>Nov_Month[[#This Row],[Salary]]/Nov_Month[[#This Row],[Days]]</f>
        <v>1500</v>
      </c>
      <c r="BD18" s="24">
        <f>Nov_Month[[#This Row],[PerDay Salary]]*Nov_Month[[#This Row],[Absent]]</f>
        <v>3000</v>
      </c>
      <c r="BE18" s="23">
        <f>Nov_Month[[#This Row],[Salary]]-Nov_Month[[#This Row],[Deduction]]</f>
        <v>42000</v>
      </c>
      <c r="BF18" s="22"/>
      <c r="BG18" s="36"/>
    </row>
    <row r="19" spans="1:59" ht="15.75" x14ac:dyDescent="0.25">
      <c r="A19"/>
      <c r="B19"/>
      <c r="C19"/>
      <c r="D19" s="29"/>
      <c r="F19" s="31"/>
      <c r="G19" s="3">
        <v>11</v>
      </c>
      <c r="H19" s="4">
        <v>1011</v>
      </c>
      <c r="I19" s="5" t="s">
        <v>13</v>
      </c>
      <c r="J19" s="37">
        <f t="shared" si="9"/>
        <v>5</v>
      </c>
      <c r="K19" s="38" t="s">
        <v>43</v>
      </c>
      <c r="L19" s="38" t="str">
        <f t="shared" si="11"/>
        <v>WO</v>
      </c>
      <c r="M19" s="38" t="s">
        <v>43</v>
      </c>
      <c r="N19" s="38" t="s">
        <v>43</v>
      </c>
      <c r="O19" s="38" t="s">
        <v>43</v>
      </c>
      <c r="P19" s="38" t="s">
        <v>42</v>
      </c>
      <c r="Q19" s="38" t="s">
        <v>43</v>
      </c>
      <c r="R19" s="38" t="s">
        <v>43</v>
      </c>
      <c r="S19" s="38" t="str">
        <f t="shared" si="11"/>
        <v>WO</v>
      </c>
      <c r="T19" s="38" t="s">
        <v>43</v>
      </c>
      <c r="U19" s="38" t="s">
        <v>43</v>
      </c>
      <c r="V19" s="38" t="s">
        <v>43</v>
      </c>
      <c r="W19" s="38" t="s">
        <v>42</v>
      </c>
      <c r="X19" s="38" t="s">
        <v>43</v>
      </c>
      <c r="Y19" s="38" t="s">
        <v>44</v>
      </c>
      <c r="Z19" s="38" t="str">
        <f t="shared" si="11"/>
        <v>WO</v>
      </c>
      <c r="AA19" s="38" t="s">
        <v>43</v>
      </c>
      <c r="AB19" s="38" t="s">
        <v>43</v>
      </c>
      <c r="AC19" s="38" t="s">
        <v>43</v>
      </c>
      <c r="AD19" s="38" t="s">
        <v>43</v>
      </c>
      <c r="AE19" s="38" t="s">
        <v>43</v>
      </c>
      <c r="AF19" s="38" t="s">
        <v>43</v>
      </c>
      <c r="AG19" s="38" t="str">
        <f t="shared" si="12"/>
        <v>WO</v>
      </c>
      <c r="AH19" s="38" t="s">
        <v>43</v>
      </c>
      <c r="AI19" s="38" t="s">
        <v>43</v>
      </c>
      <c r="AJ19" s="38" t="s">
        <v>43</v>
      </c>
      <c r="AK19" s="38" t="s">
        <v>42</v>
      </c>
      <c r="AL19" s="38" t="s">
        <v>43</v>
      </c>
      <c r="AM19" s="38" t="s">
        <v>43</v>
      </c>
      <c r="AN19" s="38" t="str">
        <f t="shared" si="12"/>
        <v>WO</v>
      </c>
      <c r="AO19" s="39"/>
      <c r="AP19" s="31"/>
      <c r="AQ19" s="36"/>
      <c r="AR19" s="19">
        <v>11</v>
      </c>
      <c r="AS19" s="19">
        <v>1011</v>
      </c>
      <c r="AT19" s="19" t="str">
        <f t="shared" si="3"/>
        <v>November</v>
      </c>
      <c r="AU19" s="19" t="s">
        <v>13</v>
      </c>
      <c r="AV19" s="27">
        <f t="shared" si="4"/>
        <v>21</v>
      </c>
      <c r="AW19" s="22">
        <f t="shared" si="5"/>
        <v>1</v>
      </c>
      <c r="AX19" s="22">
        <f t="shared" si="6"/>
        <v>3</v>
      </c>
      <c r="AY19" s="22">
        <f t="shared" si="7"/>
        <v>5</v>
      </c>
      <c r="AZ19" s="22">
        <f t="shared" si="8"/>
        <v>30</v>
      </c>
      <c r="BA19" s="22">
        <f>Nov_Month[[#This Row],[Days]]-Nov_Month[[#This Row],[Absent]]</f>
        <v>29</v>
      </c>
      <c r="BB19" s="23">
        <v>48000</v>
      </c>
      <c r="BC19" s="23">
        <f>Nov_Month[[#This Row],[Salary]]/Nov_Month[[#This Row],[Days]]</f>
        <v>1600</v>
      </c>
      <c r="BD19" s="24">
        <f>Nov_Month[[#This Row],[PerDay Salary]]*Nov_Month[[#This Row],[Absent]]</f>
        <v>1600</v>
      </c>
      <c r="BE19" s="23">
        <f>Nov_Month[[#This Row],[Salary]]-Nov_Month[[#This Row],[Deduction]]</f>
        <v>46400</v>
      </c>
      <c r="BF19" s="22"/>
      <c r="BG19" s="36"/>
    </row>
    <row r="20" spans="1:59" ht="15.75" x14ac:dyDescent="0.25">
      <c r="A20"/>
      <c r="B20"/>
      <c r="C20"/>
      <c r="D20" s="29"/>
      <c r="F20" s="31"/>
      <c r="G20" s="3">
        <v>12</v>
      </c>
      <c r="H20" s="4">
        <v>1012</v>
      </c>
      <c r="I20" s="5" t="s">
        <v>14</v>
      </c>
      <c r="J20" s="37">
        <f t="shared" si="9"/>
        <v>5</v>
      </c>
      <c r="K20" s="38" t="s">
        <v>43</v>
      </c>
      <c r="L20" s="38" t="str">
        <f t="shared" si="11"/>
        <v>WO</v>
      </c>
      <c r="M20" s="38" t="s">
        <v>43</v>
      </c>
      <c r="N20" s="38" t="s">
        <v>43</v>
      </c>
      <c r="O20" s="38" t="s">
        <v>43</v>
      </c>
      <c r="P20" s="38" t="s">
        <v>42</v>
      </c>
      <c r="Q20" s="38" t="s">
        <v>43</v>
      </c>
      <c r="R20" s="38" t="s">
        <v>43</v>
      </c>
      <c r="S20" s="38" t="str">
        <f t="shared" si="11"/>
        <v>WO</v>
      </c>
      <c r="T20" s="38" t="s">
        <v>43</v>
      </c>
      <c r="U20" s="38" t="s">
        <v>43</v>
      </c>
      <c r="V20" s="38" t="s">
        <v>43</v>
      </c>
      <c r="W20" s="38" t="s">
        <v>42</v>
      </c>
      <c r="X20" s="38" t="s">
        <v>43</v>
      </c>
      <c r="Y20" s="38" t="s">
        <v>43</v>
      </c>
      <c r="Z20" s="38" t="str">
        <f t="shared" si="11"/>
        <v>WO</v>
      </c>
      <c r="AA20" s="38" t="s">
        <v>44</v>
      </c>
      <c r="AB20" s="38" t="s">
        <v>43</v>
      </c>
      <c r="AC20" s="38" t="s">
        <v>43</v>
      </c>
      <c r="AD20" s="38" t="s">
        <v>43</v>
      </c>
      <c r="AE20" s="38" t="s">
        <v>43</v>
      </c>
      <c r="AF20" s="38" t="s">
        <v>43</v>
      </c>
      <c r="AG20" s="38" t="str">
        <f t="shared" si="12"/>
        <v>WO</v>
      </c>
      <c r="AH20" s="38" t="s">
        <v>43</v>
      </c>
      <c r="AI20" s="38" t="s">
        <v>43</v>
      </c>
      <c r="AJ20" s="38" t="s">
        <v>43</v>
      </c>
      <c r="AK20" s="38" t="s">
        <v>42</v>
      </c>
      <c r="AL20" s="38" t="s">
        <v>43</v>
      </c>
      <c r="AM20" s="38" t="s">
        <v>43</v>
      </c>
      <c r="AN20" s="38" t="str">
        <f t="shared" si="12"/>
        <v>WO</v>
      </c>
      <c r="AO20" s="39"/>
      <c r="AP20" s="31"/>
      <c r="AQ20" s="36"/>
      <c r="AR20" s="19">
        <v>12</v>
      </c>
      <c r="AS20" s="19">
        <v>1012</v>
      </c>
      <c r="AT20" s="19" t="str">
        <f t="shared" si="3"/>
        <v>November</v>
      </c>
      <c r="AU20" s="19" t="s">
        <v>14</v>
      </c>
      <c r="AV20" s="27">
        <f t="shared" si="4"/>
        <v>21</v>
      </c>
      <c r="AW20" s="22">
        <f t="shared" si="5"/>
        <v>1</v>
      </c>
      <c r="AX20" s="22">
        <f t="shared" si="6"/>
        <v>3</v>
      </c>
      <c r="AY20" s="22">
        <f t="shared" si="7"/>
        <v>5</v>
      </c>
      <c r="AZ20" s="22">
        <f t="shared" si="8"/>
        <v>30</v>
      </c>
      <c r="BA20" s="22">
        <f>Nov_Month[[#This Row],[Days]]-Nov_Month[[#This Row],[Absent]]</f>
        <v>29</v>
      </c>
      <c r="BB20" s="23">
        <v>52000</v>
      </c>
      <c r="BC20" s="23">
        <f>Nov_Month[[#This Row],[Salary]]/Nov_Month[[#This Row],[Days]]</f>
        <v>1733.3333333333333</v>
      </c>
      <c r="BD20" s="24">
        <f>Nov_Month[[#This Row],[PerDay Salary]]*Nov_Month[[#This Row],[Absent]]</f>
        <v>1733.3333333333333</v>
      </c>
      <c r="BE20" s="23">
        <f>Nov_Month[[#This Row],[Salary]]-Nov_Month[[#This Row],[Deduction]]</f>
        <v>50266.666666666664</v>
      </c>
      <c r="BF20" s="22"/>
      <c r="BG20" s="36"/>
    </row>
    <row r="21" spans="1:59" ht="15.75" x14ac:dyDescent="0.25">
      <c r="A21"/>
      <c r="B21"/>
      <c r="C21"/>
      <c r="D21" s="29"/>
      <c r="F21" s="31"/>
      <c r="G21" s="3">
        <v>13</v>
      </c>
      <c r="H21" s="4">
        <v>1013</v>
      </c>
      <c r="I21" s="5" t="s">
        <v>15</v>
      </c>
      <c r="J21" s="37">
        <f t="shared" si="9"/>
        <v>5</v>
      </c>
      <c r="K21" s="38" t="s">
        <v>43</v>
      </c>
      <c r="L21" s="38" t="str">
        <f t="shared" si="11"/>
        <v>WO</v>
      </c>
      <c r="M21" s="38" t="s">
        <v>43</v>
      </c>
      <c r="N21" s="38" t="s">
        <v>43</v>
      </c>
      <c r="O21" s="38" t="s">
        <v>43</v>
      </c>
      <c r="P21" s="38" t="s">
        <v>42</v>
      </c>
      <c r="Q21" s="38" t="s">
        <v>43</v>
      </c>
      <c r="R21" s="38" t="s">
        <v>43</v>
      </c>
      <c r="S21" s="38" t="str">
        <f t="shared" si="11"/>
        <v>WO</v>
      </c>
      <c r="T21" s="38" t="s">
        <v>43</v>
      </c>
      <c r="U21" s="38" t="s">
        <v>43</v>
      </c>
      <c r="V21" s="38" t="s">
        <v>43</v>
      </c>
      <c r="W21" s="38" t="s">
        <v>42</v>
      </c>
      <c r="X21" s="38" t="s">
        <v>43</v>
      </c>
      <c r="Y21" s="38" t="s">
        <v>43</v>
      </c>
      <c r="Z21" s="38" t="str">
        <f t="shared" si="11"/>
        <v>WO</v>
      </c>
      <c r="AA21" s="38" t="s">
        <v>43</v>
      </c>
      <c r="AB21" s="38" t="s">
        <v>44</v>
      </c>
      <c r="AC21" s="38" t="s">
        <v>43</v>
      </c>
      <c r="AD21" s="38" t="s">
        <v>43</v>
      </c>
      <c r="AE21" s="38" t="s">
        <v>43</v>
      </c>
      <c r="AF21" s="38" t="s">
        <v>43</v>
      </c>
      <c r="AG21" s="38" t="str">
        <f t="shared" si="12"/>
        <v>WO</v>
      </c>
      <c r="AH21" s="38" t="s">
        <v>43</v>
      </c>
      <c r="AI21" s="38" t="s">
        <v>43</v>
      </c>
      <c r="AJ21" s="38" t="s">
        <v>43</v>
      </c>
      <c r="AK21" s="38" t="s">
        <v>42</v>
      </c>
      <c r="AL21" s="38" t="s">
        <v>43</v>
      </c>
      <c r="AM21" s="38" t="s">
        <v>43</v>
      </c>
      <c r="AN21" s="38" t="str">
        <f t="shared" si="12"/>
        <v>WO</v>
      </c>
      <c r="AO21" s="39"/>
      <c r="AP21" s="31"/>
      <c r="AQ21" s="36"/>
      <c r="AR21" s="19">
        <v>13</v>
      </c>
      <c r="AS21" s="19">
        <v>1013</v>
      </c>
      <c r="AT21" s="19" t="str">
        <f t="shared" si="3"/>
        <v>November</v>
      </c>
      <c r="AU21" s="19" t="s">
        <v>15</v>
      </c>
      <c r="AV21" s="27">
        <f t="shared" si="4"/>
        <v>21</v>
      </c>
      <c r="AW21" s="22">
        <f t="shared" si="5"/>
        <v>1</v>
      </c>
      <c r="AX21" s="22">
        <f t="shared" si="6"/>
        <v>3</v>
      </c>
      <c r="AY21" s="22">
        <f t="shared" si="7"/>
        <v>5</v>
      </c>
      <c r="AZ21" s="22">
        <f t="shared" si="8"/>
        <v>30</v>
      </c>
      <c r="BA21" s="22">
        <f>Nov_Month[[#This Row],[Days]]-Nov_Month[[#This Row],[Absent]]</f>
        <v>29</v>
      </c>
      <c r="BB21" s="23">
        <v>42000</v>
      </c>
      <c r="BC21" s="23">
        <f>Nov_Month[[#This Row],[Salary]]/Nov_Month[[#This Row],[Days]]</f>
        <v>1400</v>
      </c>
      <c r="BD21" s="24">
        <f>Nov_Month[[#This Row],[PerDay Salary]]*Nov_Month[[#This Row],[Absent]]</f>
        <v>1400</v>
      </c>
      <c r="BE21" s="23">
        <f>Nov_Month[[#This Row],[Salary]]-Nov_Month[[#This Row],[Deduction]]</f>
        <v>40600</v>
      </c>
      <c r="BF21" s="22"/>
      <c r="BG21" s="36"/>
    </row>
    <row r="22" spans="1:59" ht="15.75" x14ac:dyDescent="0.25">
      <c r="A22"/>
      <c r="B22"/>
      <c r="C22"/>
      <c r="D22" s="29"/>
      <c r="F22" s="31"/>
      <c r="G22" s="3">
        <v>14</v>
      </c>
      <c r="H22" s="4">
        <v>1014</v>
      </c>
      <c r="I22" s="5" t="s">
        <v>16</v>
      </c>
      <c r="J22" s="37">
        <f t="shared" si="9"/>
        <v>5</v>
      </c>
      <c r="K22" s="38" t="s">
        <v>43</v>
      </c>
      <c r="L22" s="38" t="str">
        <f t="shared" si="11"/>
        <v>WO</v>
      </c>
      <c r="M22" s="38" t="s">
        <v>43</v>
      </c>
      <c r="N22" s="38" t="s">
        <v>43</v>
      </c>
      <c r="O22" s="38" t="s">
        <v>43</v>
      </c>
      <c r="P22" s="38" t="s">
        <v>42</v>
      </c>
      <c r="Q22" s="38" t="s">
        <v>43</v>
      </c>
      <c r="R22" s="38" t="s">
        <v>43</v>
      </c>
      <c r="S22" s="38" t="str">
        <f t="shared" si="11"/>
        <v>WO</v>
      </c>
      <c r="T22" s="38" t="s">
        <v>43</v>
      </c>
      <c r="U22" s="38" t="s">
        <v>43</v>
      </c>
      <c r="V22" s="38" t="s">
        <v>43</v>
      </c>
      <c r="W22" s="38" t="s">
        <v>42</v>
      </c>
      <c r="X22" s="38" t="s">
        <v>43</v>
      </c>
      <c r="Y22" s="38" t="s">
        <v>43</v>
      </c>
      <c r="Z22" s="38" t="str">
        <f t="shared" si="11"/>
        <v>WO</v>
      </c>
      <c r="AA22" s="38" t="s">
        <v>43</v>
      </c>
      <c r="AB22" s="38" t="s">
        <v>43</v>
      </c>
      <c r="AC22" s="38" t="s">
        <v>44</v>
      </c>
      <c r="AD22" s="38" t="s">
        <v>43</v>
      </c>
      <c r="AE22" s="38" t="s">
        <v>43</v>
      </c>
      <c r="AF22" s="38" t="s">
        <v>43</v>
      </c>
      <c r="AG22" s="38" t="str">
        <f t="shared" si="12"/>
        <v>WO</v>
      </c>
      <c r="AH22" s="38" t="s">
        <v>43</v>
      </c>
      <c r="AI22" s="38" t="s">
        <v>43</v>
      </c>
      <c r="AJ22" s="38" t="s">
        <v>43</v>
      </c>
      <c r="AK22" s="38" t="s">
        <v>42</v>
      </c>
      <c r="AL22" s="38" t="s">
        <v>43</v>
      </c>
      <c r="AM22" s="38" t="s">
        <v>43</v>
      </c>
      <c r="AN22" s="38" t="str">
        <f t="shared" si="12"/>
        <v>WO</v>
      </c>
      <c r="AO22" s="39"/>
      <c r="AP22" s="31"/>
      <c r="AQ22" s="36"/>
      <c r="AR22" s="19">
        <v>14</v>
      </c>
      <c r="AS22" s="19">
        <v>1014</v>
      </c>
      <c r="AT22" s="19" t="str">
        <f t="shared" si="3"/>
        <v>November</v>
      </c>
      <c r="AU22" s="19" t="s">
        <v>16</v>
      </c>
      <c r="AV22" s="27">
        <f t="shared" si="4"/>
        <v>21</v>
      </c>
      <c r="AW22" s="22">
        <f t="shared" si="5"/>
        <v>1</v>
      </c>
      <c r="AX22" s="22">
        <f t="shared" si="6"/>
        <v>3</v>
      </c>
      <c r="AY22" s="22">
        <f t="shared" si="7"/>
        <v>5</v>
      </c>
      <c r="AZ22" s="22">
        <f t="shared" si="8"/>
        <v>30</v>
      </c>
      <c r="BA22" s="22">
        <f>Nov_Month[[#This Row],[Days]]-Nov_Month[[#This Row],[Absent]]</f>
        <v>29</v>
      </c>
      <c r="BB22" s="23">
        <v>15000</v>
      </c>
      <c r="BC22" s="23">
        <f>Nov_Month[[#This Row],[Salary]]/Nov_Month[[#This Row],[Days]]</f>
        <v>500</v>
      </c>
      <c r="BD22" s="24">
        <f>Nov_Month[[#This Row],[PerDay Salary]]*Nov_Month[[#This Row],[Absent]]</f>
        <v>500</v>
      </c>
      <c r="BE22" s="23">
        <f>Nov_Month[[#This Row],[Salary]]-Nov_Month[[#This Row],[Deduction]]</f>
        <v>14500</v>
      </c>
      <c r="BF22" s="22"/>
      <c r="BG22" s="36"/>
    </row>
    <row r="23" spans="1:59" ht="15.75" x14ac:dyDescent="0.25">
      <c r="A23"/>
      <c r="B23"/>
      <c r="C23"/>
      <c r="D23" s="29"/>
      <c r="F23" s="31"/>
      <c r="G23" s="3">
        <v>15</v>
      </c>
      <c r="H23" s="4">
        <v>1015</v>
      </c>
      <c r="I23" s="5" t="s">
        <v>17</v>
      </c>
      <c r="J23" s="37">
        <f t="shared" si="9"/>
        <v>5</v>
      </c>
      <c r="K23" s="38" t="s">
        <v>43</v>
      </c>
      <c r="L23" s="38" t="str">
        <f t="shared" si="11"/>
        <v>WO</v>
      </c>
      <c r="M23" s="38" t="s">
        <v>43</v>
      </c>
      <c r="N23" s="38" t="s">
        <v>43</v>
      </c>
      <c r="O23" s="38" t="s">
        <v>43</v>
      </c>
      <c r="P23" s="38" t="s">
        <v>42</v>
      </c>
      <c r="Q23" s="38" t="s">
        <v>43</v>
      </c>
      <c r="R23" s="38" t="s">
        <v>43</v>
      </c>
      <c r="S23" s="38" t="str">
        <f t="shared" si="11"/>
        <v>WO</v>
      </c>
      <c r="T23" s="38" t="s">
        <v>43</v>
      </c>
      <c r="U23" s="38" t="s">
        <v>43</v>
      </c>
      <c r="V23" s="38" t="s">
        <v>43</v>
      </c>
      <c r="W23" s="38" t="s">
        <v>42</v>
      </c>
      <c r="X23" s="38" t="s">
        <v>43</v>
      </c>
      <c r="Y23" s="38" t="s">
        <v>43</v>
      </c>
      <c r="Z23" s="38" t="str">
        <f t="shared" si="11"/>
        <v>WO</v>
      </c>
      <c r="AA23" s="38" t="s">
        <v>43</v>
      </c>
      <c r="AB23" s="38" t="s">
        <v>43</v>
      </c>
      <c r="AC23" s="38" t="s">
        <v>43</v>
      </c>
      <c r="AD23" s="38" t="s">
        <v>44</v>
      </c>
      <c r="AE23" s="38" t="s">
        <v>43</v>
      </c>
      <c r="AF23" s="38" t="s">
        <v>43</v>
      </c>
      <c r="AG23" s="38" t="str">
        <f t="shared" si="12"/>
        <v>WO</v>
      </c>
      <c r="AH23" s="38" t="s">
        <v>43</v>
      </c>
      <c r="AI23" s="38" t="s">
        <v>43</v>
      </c>
      <c r="AJ23" s="38" t="s">
        <v>43</v>
      </c>
      <c r="AK23" s="38" t="s">
        <v>42</v>
      </c>
      <c r="AL23" s="38" t="s">
        <v>43</v>
      </c>
      <c r="AM23" s="38" t="s">
        <v>43</v>
      </c>
      <c r="AN23" s="38" t="str">
        <f t="shared" si="12"/>
        <v>WO</v>
      </c>
      <c r="AO23" s="39"/>
      <c r="AP23" s="31"/>
      <c r="AQ23" s="36"/>
      <c r="AR23" s="19">
        <v>15</v>
      </c>
      <c r="AS23" s="19">
        <v>1015</v>
      </c>
      <c r="AT23" s="19" t="str">
        <f t="shared" si="3"/>
        <v>November</v>
      </c>
      <c r="AU23" s="19" t="s">
        <v>17</v>
      </c>
      <c r="AV23" s="27">
        <f t="shared" si="4"/>
        <v>21</v>
      </c>
      <c r="AW23" s="22">
        <f t="shared" si="5"/>
        <v>1</v>
      </c>
      <c r="AX23" s="22">
        <f t="shared" si="6"/>
        <v>3</v>
      </c>
      <c r="AY23" s="22">
        <f t="shared" si="7"/>
        <v>5</v>
      </c>
      <c r="AZ23" s="22">
        <f t="shared" si="8"/>
        <v>30</v>
      </c>
      <c r="BA23" s="22">
        <f>Nov_Month[[#This Row],[Days]]-Nov_Month[[#This Row],[Absent]]</f>
        <v>29</v>
      </c>
      <c r="BB23" s="23">
        <v>46000</v>
      </c>
      <c r="BC23" s="23">
        <f>Nov_Month[[#This Row],[Salary]]/Nov_Month[[#This Row],[Days]]</f>
        <v>1533.3333333333333</v>
      </c>
      <c r="BD23" s="24">
        <f>Nov_Month[[#This Row],[PerDay Salary]]*Nov_Month[[#This Row],[Absent]]</f>
        <v>1533.3333333333333</v>
      </c>
      <c r="BE23" s="23">
        <f>Nov_Month[[#This Row],[Salary]]-Nov_Month[[#This Row],[Deduction]]</f>
        <v>44466.666666666664</v>
      </c>
      <c r="BF23" s="22"/>
      <c r="BG23" s="36"/>
    </row>
    <row r="24" spans="1:59" ht="15.75" x14ac:dyDescent="0.25">
      <c r="A24"/>
      <c r="B24"/>
      <c r="C24"/>
      <c r="D24" s="29"/>
      <c r="F24" s="31"/>
      <c r="G24" s="3">
        <v>16</v>
      </c>
      <c r="H24" s="4">
        <v>1016</v>
      </c>
      <c r="I24" s="5" t="s">
        <v>18</v>
      </c>
      <c r="J24" s="37">
        <f t="shared" si="9"/>
        <v>5</v>
      </c>
      <c r="K24" s="38" t="s">
        <v>43</v>
      </c>
      <c r="L24" s="38" t="str">
        <f t="shared" si="11"/>
        <v>WO</v>
      </c>
      <c r="M24" s="38" t="s">
        <v>43</v>
      </c>
      <c r="N24" s="38" t="s">
        <v>43</v>
      </c>
      <c r="O24" s="38" t="s">
        <v>43</v>
      </c>
      <c r="P24" s="38" t="s">
        <v>42</v>
      </c>
      <c r="Q24" s="38" t="s">
        <v>43</v>
      </c>
      <c r="R24" s="38" t="s">
        <v>43</v>
      </c>
      <c r="S24" s="38" t="str">
        <f t="shared" si="11"/>
        <v>WO</v>
      </c>
      <c r="T24" s="38" t="s">
        <v>43</v>
      </c>
      <c r="U24" s="38" t="s">
        <v>43</v>
      </c>
      <c r="V24" s="38" t="s">
        <v>44</v>
      </c>
      <c r="W24" s="38" t="s">
        <v>42</v>
      </c>
      <c r="X24" s="38" t="s">
        <v>43</v>
      </c>
      <c r="Y24" s="38" t="s">
        <v>43</v>
      </c>
      <c r="Z24" s="38" t="str">
        <f t="shared" si="11"/>
        <v>WO</v>
      </c>
      <c r="AA24" s="38" t="s">
        <v>43</v>
      </c>
      <c r="AB24" s="38" t="s">
        <v>43</v>
      </c>
      <c r="AC24" s="38" t="s">
        <v>43</v>
      </c>
      <c r="AD24" s="38" t="s">
        <v>43</v>
      </c>
      <c r="AE24" s="38" t="s">
        <v>44</v>
      </c>
      <c r="AF24" s="38" t="s">
        <v>43</v>
      </c>
      <c r="AG24" s="38" t="str">
        <f t="shared" si="12"/>
        <v>WO</v>
      </c>
      <c r="AH24" s="38" t="s">
        <v>43</v>
      </c>
      <c r="AI24" s="38" t="s">
        <v>43</v>
      </c>
      <c r="AJ24" s="38" t="s">
        <v>43</v>
      </c>
      <c r="AK24" s="38" t="s">
        <v>42</v>
      </c>
      <c r="AL24" s="38" t="s">
        <v>43</v>
      </c>
      <c r="AM24" s="38" t="s">
        <v>43</v>
      </c>
      <c r="AN24" s="38" t="str">
        <f t="shared" si="12"/>
        <v>WO</v>
      </c>
      <c r="AO24" s="39"/>
      <c r="AP24" s="31"/>
      <c r="AQ24" s="36"/>
      <c r="AR24" s="19">
        <v>16</v>
      </c>
      <c r="AS24" s="19">
        <v>1016</v>
      </c>
      <c r="AT24" s="19" t="str">
        <f t="shared" si="3"/>
        <v>November</v>
      </c>
      <c r="AU24" s="19" t="s">
        <v>18</v>
      </c>
      <c r="AV24" s="27">
        <f t="shared" si="4"/>
        <v>20</v>
      </c>
      <c r="AW24" s="22">
        <f t="shared" si="5"/>
        <v>2</v>
      </c>
      <c r="AX24" s="22">
        <f t="shared" si="6"/>
        <v>3</v>
      </c>
      <c r="AY24" s="22">
        <f t="shared" si="7"/>
        <v>5</v>
      </c>
      <c r="AZ24" s="22">
        <f t="shared" si="8"/>
        <v>30</v>
      </c>
      <c r="BA24" s="22">
        <f>Nov_Month[[#This Row],[Days]]-Nov_Month[[#This Row],[Absent]]</f>
        <v>28</v>
      </c>
      <c r="BB24" s="23">
        <v>52000</v>
      </c>
      <c r="BC24" s="23">
        <f>Nov_Month[[#This Row],[Salary]]/Nov_Month[[#This Row],[Days]]</f>
        <v>1733.3333333333333</v>
      </c>
      <c r="BD24" s="24">
        <f>Nov_Month[[#This Row],[PerDay Salary]]*Nov_Month[[#This Row],[Absent]]</f>
        <v>3466.6666666666665</v>
      </c>
      <c r="BE24" s="23">
        <f>Nov_Month[[#This Row],[Salary]]-Nov_Month[[#This Row],[Deduction]]</f>
        <v>48533.333333333336</v>
      </c>
      <c r="BF24" s="22"/>
      <c r="BG24" s="36"/>
    </row>
    <row r="25" spans="1:59" ht="15.75" x14ac:dyDescent="0.25">
      <c r="A25"/>
      <c r="B25"/>
      <c r="C25"/>
      <c r="D25" s="29"/>
      <c r="F25" s="31"/>
      <c r="G25" s="3">
        <v>17</v>
      </c>
      <c r="H25" s="4">
        <v>1017</v>
      </c>
      <c r="I25" s="5" t="s">
        <v>19</v>
      </c>
      <c r="J25" s="37">
        <f t="shared" si="9"/>
        <v>5</v>
      </c>
      <c r="K25" s="38" t="s">
        <v>43</v>
      </c>
      <c r="L25" s="38" t="str">
        <f t="shared" si="11"/>
        <v>WO</v>
      </c>
      <c r="M25" s="38" t="s">
        <v>43</v>
      </c>
      <c r="N25" s="38" t="s">
        <v>43</v>
      </c>
      <c r="O25" s="38" t="s">
        <v>43</v>
      </c>
      <c r="P25" s="38" t="s">
        <v>42</v>
      </c>
      <c r="Q25" s="38" t="s">
        <v>43</v>
      </c>
      <c r="R25" s="38" t="s">
        <v>43</v>
      </c>
      <c r="S25" s="38" t="str">
        <f t="shared" si="11"/>
        <v>WO</v>
      </c>
      <c r="T25" s="38" t="s">
        <v>43</v>
      </c>
      <c r="U25" s="38" t="s">
        <v>43</v>
      </c>
      <c r="V25" s="38" t="s">
        <v>43</v>
      </c>
      <c r="W25" s="38" t="s">
        <v>42</v>
      </c>
      <c r="X25" s="38" t="s">
        <v>43</v>
      </c>
      <c r="Y25" s="38" t="s">
        <v>43</v>
      </c>
      <c r="Z25" s="38" t="str">
        <f t="shared" si="11"/>
        <v>WO</v>
      </c>
      <c r="AA25" s="38" t="s">
        <v>43</v>
      </c>
      <c r="AB25" s="38" t="s">
        <v>43</v>
      </c>
      <c r="AC25" s="38" t="s">
        <v>43</v>
      </c>
      <c r="AD25" s="38" t="s">
        <v>43</v>
      </c>
      <c r="AE25" s="38" t="s">
        <v>43</v>
      </c>
      <c r="AF25" s="38" t="s">
        <v>44</v>
      </c>
      <c r="AG25" s="38" t="str">
        <f t="shared" si="12"/>
        <v>WO</v>
      </c>
      <c r="AH25" s="38" t="s">
        <v>43</v>
      </c>
      <c r="AI25" s="38" t="s">
        <v>43</v>
      </c>
      <c r="AJ25" s="38" t="s">
        <v>43</v>
      </c>
      <c r="AK25" s="38" t="s">
        <v>42</v>
      </c>
      <c r="AL25" s="38" t="s">
        <v>43</v>
      </c>
      <c r="AM25" s="38" t="s">
        <v>43</v>
      </c>
      <c r="AN25" s="38" t="str">
        <f t="shared" si="12"/>
        <v>WO</v>
      </c>
      <c r="AO25" s="39"/>
      <c r="AP25" s="31"/>
      <c r="AQ25" s="36"/>
      <c r="AR25" s="19">
        <v>17</v>
      </c>
      <c r="AS25" s="19">
        <v>1017</v>
      </c>
      <c r="AT25" s="19" t="str">
        <f t="shared" si="3"/>
        <v>November</v>
      </c>
      <c r="AU25" s="19" t="s">
        <v>19</v>
      </c>
      <c r="AV25" s="27">
        <f t="shared" si="4"/>
        <v>21</v>
      </c>
      <c r="AW25" s="22">
        <f t="shared" si="5"/>
        <v>1</v>
      </c>
      <c r="AX25" s="22">
        <f t="shared" si="6"/>
        <v>3</v>
      </c>
      <c r="AY25" s="22">
        <f t="shared" si="7"/>
        <v>5</v>
      </c>
      <c r="AZ25" s="22">
        <f t="shared" si="8"/>
        <v>30</v>
      </c>
      <c r="BA25" s="22">
        <f>Nov_Month[[#This Row],[Days]]-Nov_Month[[#This Row],[Absent]]</f>
        <v>29</v>
      </c>
      <c r="BB25" s="23">
        <v>42000</v>
      </c>
      <c r="BC25" s="23">
        <f>Nov_Month[[#This Row],[Salary]]/Nov_Month[[#This Row],[Days]]</f>
        <v>1400</v>
      </c>
      <c r="BD25" s="24">
        <f>Nov_Month[[#This Row],[PerDay Salary]]*Nov_Month[[#This Row],[Absent]]</f>
        <v>1400</v>
      </c>
      <c r="BE25" s="23">
        <f>Nov_Month[[#This Row],[Salary]]-Nov_Month[[#This Row],[Deduction]]</f>
        <v>40600</v>
      </c>
      <c r="BF25" s="22"/>
      <c r="BG25" s="36"/>
    </row>
    <row r="26" spans="1:59" ht="15.75" x14ac:dyDescent="0.25">
      <c r="A26"/>
      <c r="B26"/>
      <c r="C26"/>
      <c r="D26" s="29"/>
      <c r="F26" s="31"/>
      <c r="G26" s="3">
        <v>18</v>
      </c>
      <c r="H26" s="4">
        <v>1018</v>
      </c>
      <c r="I26" s="5" t="s">
        <v>20</v>
      </c>
      <c r="J26" s="37">
        <f t="shared" si="9"/>
        <v>5</v>
      </c>
      <c r="K26" s="38" t="s">
        <v>43</v>
      </c>
      <c r="L26" s="38" t="str">
        <f t="shared" si="11"/>
        <v>WO</v>
      </c>
      <c r="M26" s="38" t="s">
        <v>43</v>
      </c>
      <c r="N26" s="38" t="s">
        <v>43</v>
      </c>
      <c r="O26" s="38" t="s">
        <v>43</v>
      </c>
      <c r="P26" s="38" t="s">
        <v>42</v>
      </c>
      <c r="Q26" s="38" t="s">
        <v>43</v>
      </c>
      <c r="R26" s="38" t="s">
        <v>43</v>
      </c>
      <c r="S26" s="38" t="str">
        <f t="shared" si="11"/>
        <v>WO</v>
      </c>
      <c r="T26" s="38" t="s">
        <v>43</v>
      </c>
      <c r="U26" s="38" t="s">
        <v>43</v>
      </c>
      <c r="V26" s="38" t="s">
        <v>43</v>
      </c>
      <c r="W26" s="38" t="s">
        <v>42</v>
      </c>
      <c r="X26" s="38" t="s">
        <v>43</v>
      </c>
      <c r="Y26" s="38" t="s">
        <v>43</v>
      </c>
      <c r="Z26" s="38" t="str">
        <f t="shared" si="11"/>
        <v>WO</v>
      </c>
      <c r="AA26" s="38" t="s">
        <v>43</v>
      </c>
      <c r="AB26" s="38" t="s">
        <v>43</v>
      </c>
      <c r="AC26" s="38" t="s">
        <v>43</v>
      </c>
      <c r="AD26" s="38" t="s">
        <v>43</v>
      </c>
      <c r="AE26" s="38" t="s">
        <v>43</v>
      </c>
      <c r="AF26" s="38" t="s">
        <v>43</v>
      </c>
      <c r="AG26" s="38" t="str">
        <f t="shared" si="12"/>
        <v>WO</v>
      </c>
      <c r="AH26" s="38" t="s">
        <v>44</v>
      </c>
      <c r="AI26" s="38" t="s">
        <v>43</v>
      </c>
      <c r="AJ26" s="38" t="s">
        <v>43</v>
      </c>
      <c r="AK26" s="38" t="s">
        <v>42</v>
      </c>
      <c r="AL26" s="38" t="s">
        <v>43</v>
      </c>
      <c r="AM26" s="38" t="s">
        <v>44</v>
      </c>
      <c r="AN26" s="38" t="str">
        <f t="shared" si="12"/>
        <v>WO</v>
      </c>
      <c r="AO26" s="39"/>
      <c r="AP26" s="31"/>
      <c r="AQ26" s="36"/>
      <c r="AR26" s="19">
        <v>18</v>
      </c>
      <c r="AS26" s="19">
        <v>1018</v>
      </c>
      <c r="AT26" s="19" t="str">
        <f t="shared" si="3"/>
        <v>November</v>
      </c>
      <c r="AU26" s="19" t="s">
        <v>20</v>
      </c>
      <c r="AV26" s="27">
        <f t="shared" si="4"/>
        <v>20</v>
      </c>
      <c r="AW26" s="22">
        <f t="shared" si="5"/>
        <v>2</v>
      </c>
      <c r="AX26" s="22">
        <f t="shared" si="6"/>
        <v>3</v>
      </c>
      <c r="AY26" s="22">
        <f t="shared" si="7"/>
        <v>5</v>
      </c>
      <c r="AZ26" s="22">
        <f t="shared" si="8"/>
        <v>30</v>
      </c>
      <c r="BA26" s="22">
        <f>Nov_Month[[#This Row],[Days]]-Nov_Month[[#This Row],[Absent]]</f>
        <v>28</v>
      </c>
      <c r="BB26" s="23">
        <v>62000</v>
      </c>
      <c r="BC26" s="23">
        <f>Nov_Month[[#This Row],[Salary]]/Nov_Month[[#This Row],[Days]]</f>
        <v>2066.6666666666665</v>
      </c>
      <c r="BD26" s="24">
        <f>Nov_Month[[#This Row],[PerDay Salary]]*Nov_Month[[#This Row],[Absent]]</f>
        <v>4133.333333333333</v>
      </c>
      <c r="BE26" s="23">
        <f>Nov_Month[[#This Row],[Salary]]-Nov_Month[[#This Row],[Deduction]]</f>
        <v>57866.666666666664</v>
      </c>
      <c r="BF26" s="22"/>
      <c r="BG26" s="36"/>
    </row>
    <row r="27" spans="1:59" ht="15.75" x14ac:dyDescent="0.25">
      <c r="A27"/>
      <c r="B27"/>
      <c r="C27"/>
      <c r="D27" s="29"/>
      <c r="F27" s="31"/>
      <c r="G27" s="3">
        <v>19</v>
      </c>
      <c r="H27" s="4">
        <v>1019</v>
      </c>
      <c r="I27" s="5" t="s">
        <v>21</v>
      </c>
      <c r="J27" s="37">
        <f t="shared" si="9"/>
        <v>5</v>
      </c>
      <c r="K27" s="38" t="s">
        <v>43</v>
      </c>
      <c r="L27" s="38" t="str">
        <f t="shared" si="11"/>
        <v>WO</v>
      </c>
      <c r="M27" s="38" t="s">
        <v>43</v>
      </c>
      <c r="N27" s="38" t="s">
        <v>43</v>
      </c>
      <c r="O27" s="38" t="s">
        <v>43</v>
      </c>
      <c r="P27" s="38" t="s">
        <v>42</v>
      </c>
      <c r="Q27" s="38" t="s">
        <v>44</v>
      </c>
      <c r="R27" s="38" t="s">
        <v>43</v>
      </c>
      <c r="S27" s="38" t="str">
        <f t="shared" si="11"/>
        <v>WO</v>
      </c>
      <c r="T27" s="38" t="s">
        <v>43</v>
      </c>
      <c r="U27" s="38" t="s">
        <v>43</v>
      </c>
      <c r="V27" s="38" t="s">
        <v>43</v>
      </c>
      <c r="W27" s="38" t="s">
        <v>42</v>
      </c>
      <c r="X27" s="38" t="s">
        <v>43</v>
      </c>
      <c r="Y27" s="38" t="s">
        <v>43</v>
      </c>
      <c r="Z27" s="38" t="str">
        <f t="shared" si="11"/>
        <v>WO</v>
      </c>
      <c r="AA27" s="38" t="s">
        <v>43</v>
      </c>
      <c r="AB27" s="38" t="s">
        <v>43</v>
      </c>
      <c r="AC27" s="38" t="s">
        <v>43</v>
      </c>
      <c r="AD27" s="38" t="s">
        <v>43</v>
      </c>
      <c r="AE27" s="38" t="s">
        <v>43</v>
      </c>
      <c r="AF27" s="38" t="s">
        <v>43</v>
      </c>
      <c r="AG27" s="38" t="str">
        <f t="shared" si="12"/>
        <v>WO</v>
      </c>
      <c r="AH27" s="38" t="s">
        <v>43</v>
      </c>
      <c r="AI27" s="38" t="s">
        <v>44</v>
      </c>
      <c r="AJ27" s="38" t="s">
        <v>43</v>
      </c>
      <c r="AK27" s="38" t="s">
        <v>42</v>
      </c>
      <c r="AL27" s="38" t="s">
        <v>43</v>
      </c>
      <c r="AM27" s="38" t="s">
        <v>43</v>
      </c>
      <c r="AN27" s="38" t="str">
        <f t="shared" si="12"/>
        <v>WO</v>
      </c>
      <c r="AO27" s="39"/>
      <c r="AP27" s="31"/>
      <c r="AQ27" s="36"/>
      <c r="AR27" s="19">
        <v>19</v>
      </c>
      <c r="AS27" s="19">
        <v>1019</v>
      </c>
      <c r="AT27" s="19" t="str">
        <f t="shared" si="3"/>
        <v>November</v>
      </c>
      <c r="AU27" s="19" t="s">
        <v>21</v>
      </c>
      <c r="AV27" s="27">
        <f t="shared" si="4"/>
        <v>20</v>
      </c>
      <c r="AW27" s="22">
        <f t="shared" si="5"/>
        <v>2</v>
      </c>
      <c r="AX27" s="22">
        <f t="shared" si="6"/>
        <v>3</v>
      </c>
      <c r="AY27" s="22">
        <f t="shared" si="7"/>
        <v>5</v>
      </c>
      <c r="AZ27" s="22">
        <f t="shared" si="8"/>
        <v>30</v>
      </c>
      <c r="BA27" s="22">
        <f>Nov_Month[[#This Row],[Days]]-Nov_Month[[#This Row],[Absent]]</f>
        <v>28</v>
      </c>
      <c r="BB27" s="23">
        <v>41000</v>
      </c>
      <c r="BC27" s="23">
        <f>Nov_Month[[#This Row],[Salary]]/Nov_Month[[#This Row],[Days]]</f>
        <v>1366.6666666666667</v>
      </c>
      <c r="BD27" s="24">
        <f>Nov_Month[[#This Row],[PerDay Salary]]*Nov_Month[[#This Row],[Absent]]</f>
        <v>2733.3333333333335</v>
      </c>
      <c r="BE27" s="23">
        <f>Nov_Month[[#This Row],[Salary]]-Nov_Month[[#This Row],[Deduction]]</f>
        <v>38266.666666666664</v>
      </c>
      <c r="BF27" s="22"/>
      <c r="BG27" s="36"/>
    </row>
    <row r="28" spans="1:59" ht="16.5" thickBot="1" x14ac:dyDescent="0.3">
      <c r="A28"/>
      <c r="B28"/>
      <c r="C28"/>
      <c r="D28" s="29"/>
      <c r="F28" s="31"/>
      <c r="G28" s="6">
        <v>20</v>
      </c>
      <c r="H28" s="7">
        <v>1020</v>
      </c>
      <c r="I28" s="8" t="s">
        <v>22</v>
      </c>
      <c r="J28" s="40">
        <f t="shared" si="9"/>
        <v>5</v>
      </c>
      <c r="K28" s="41" t="s">
        <v>43</v>
      </c>
      <c r="L28" s="41" t="str">
        <f t="shared" si="11"/>
        <v>WO</v>
      </c>
      <c r="M28" s="41" t="s">
        <v>43</v>
      </c>
      <c r="N28" s="41" t="s">
        <v>43</v>
      </c>
      <c r="O28" s="41" t="s">
        <v>43</v>
      </c>
      <c r="P28" s="41" t="s">
        <v>42</v>
      </c>
      <c r="Q28" s="41" t="s">
        <v>43</v>
      </c>
      <c r="R28" s="41" t="s">
        <v>43</v>
      </c>
      <c r="S28" s="41" t="str">
        <f t="shared" si="11"/>
        <v>WO</v>
      </c>
      <c r="T28" s="41" t="s">
        <v>43</v>
      </c>
      <c r="U28" s="41" t="s">
        <v>43</v>
      </c>
      <c r="V28" s="41" t="s">
        <v>43</v>
      </c>
      <c r="W28" s="41" t="s">
        <v>42</v>
      </c>
      <c r="X28" s="41" t="s">
        <v>43</v>
      </c>
      <c r="Y28" s="41" t="s">
        <v>43</v>
      </c>
      <c r="Z28" s="41" t="str">
        <f t="shared" si="11"/>
        <v>WO</v>
      </c>
      <c r="AA28" s="41" t="s">
        <v>43</v>
      </c>
      <c r="AB28" s="41" t="s">
        <v>43</v>
      </c>
      <c r="AC28" s="41" t="s">
        <v>43</v>
      </c>
      <c r="AD28" s="41" t="s">
        <v>43</v>
      </c>
      <c r="AE28" s="41" t="s">
        <v>43</v>
      </c>
      <c r="AF28" s="41" t="s">
        <v>43</v>
      </c>
      <c r="AG28" s="41" t="str">
        <f t="shared" si="12"/>
        <v>WO</v>
      </c>
      <c r="AH28" s="41" t="s">
        <v>43</v>
      </c>
      <c r="AI28" s="41" t="s">
        <v>43</v>
      </c>
      <c r="AJ28" s="41" t="s">
        <v>44</v>
      </c>
      <c r="AK28" s="41" t="s">
        <v>42</v>
      </c>
      <c r="AL28" s="41" t="s">
        <v>43</v>
      </c>
      <c r="AM28" s="41" t="s">
        <v>43</v>
      </c>
      <c r="AN28" s="41" t="str">
        <f t="shared" si="12"/>
        <v>WO</v>
      </c>
      <c r="AO28" s="42"/>
      <c r="AP28" s="31"/>
      <c r="AQ28" s="36"/>
      <c r="AR28" s="19">
        <v>20</v>
      </c>
      <c r="AS28" s="19">
        <v>1020</v>
      </c>
      <c r="AT28" s="19" t="str">
        <f t="shared" si="3"/>
        <v>November</v>
      </c>
      <c r="AU28" s="19" t="s">
        <v>22</v>
      </c>
      <c r="AV28" s="27">
        <f t="shared" si="4"/>
        <v>21</v>
      </c>
      <c r="AW28" s="22">
        <f t="shared" si="5"/>
        <v>1</v>
      </c>
      <c r="AX28" s="22">
        <f t="shared" si="6"/>
        <v>3</v>
      </c>
      <c r="AY28" s="22">
        <f t="shared" si="7"/>
        <v>5</v>
      </c>
      <c r="AZ28" s="22">
        <f t="shared" si="8"/>
        <v>30</v>
      </c>
      <c r="BA28" s="22">
        <f>Nov_Month[[#This Row],[Days]]-Nov_Month[[#This Row],[Absent]]</f>
        <v>29</v>
      </c>
      <c r="BB28" s="23">
        <v>30000</v>
      </c>
      <c r="BC28" s="23">
        <f>Nov_Month[[#This Row],[Salary]]/Nov_Month[[#This Row],[Days]]</f>
        <v>1000</v>
      </c>
      <c r="BD28" s="24">
        <f>Nov_Month[[#This Row],[PerDay Salary]]*Nov_Month[[#This Row],[Absent]]</f>
        <v>1000</v>
      </c>
      <c r="BE28" s="23">
        <f>Nov_Month[[#This Row],[Salary]]-Nov_Month[[#This Row],[Deduction]]</f>
        <v>29000</v>
      </c>
      <c r="BF28" s="22"/>
      <c r="BG28" s="36"/>
    </row>
    <row r="29" spans="1:59" ht="15.75" thickTop="1" x14ac:dyDescent="0.25">
      <c r="A29"/>
      <c r="B29"/>
      <c r="C29"/>
      <c r="D29" s="29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x14ac:dyDescent="0.25">
      <c r="D30" s="29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</row>
    <row r="31" spans="1:59" x14ac:dyDescent="0.25">
      <c r="D31" s="29"/>
    </row>
    <row r="32" spans="1:59" x14ac:dyDescent="0.25">
      <c r="D32" s="29"/>
    </row>
    <row r="33" spans="4:4" x14ac:dyDescent="0.25">
      <c r="D33" s="29"/>
    </row>
    <row r="34" spans="4:4" x14ac:dyDescent="0.25">
      <c r="D34" s="29"/>
    </row>
    <row r="35" spans="4:4" x14ac:dyDescent="0.25">
      <c r="D35" s="29"/>
    </row>
    <row r="36" spans="4:4" x14ac:dyDescent="0.25">
      <c r="D36" s="29"/>
    </row>
    <row r="37" spans="4:4" x14ac:dyDescent="0.25">
      <c r="D37" s="29"/>
    </row>
    <row r="38" spans="4:4" x14ac:dyDescent="0.25">
      <c r="D38" s="29"/>
    </row>
    <row r="39" spans="4:4" x14ac:dyDescent="0.25">
      <c r="D39" s="29"/>
    </row>
    <row r="40" spans="4:4" x14ac:dyDescent="0.25">
      <c r="D40" s="29"/>
    </row>
    <row r="41" spans="4:4" x14ac:dyDescent="0.25">
      <c r="D41" s="29"/>
    </row>
    <row r="42" spans="4:4" x14ac:dyDescent="0.25">
      <c r="D42" s="29"/>
    </row>
    <row r="43" spans="4:4" x14ac:dyDescent="0.25">
      <c r="D43" s="29"/>
    </row>
    <row r="44" spans="4:4" x14ac:dyDescent="0.25">
      <c r="D44" s="29"/>
    </row>
    <row r="45" spans="4:4" x14ac:dyDescent="0.25">
      <c r="D45" s="29"/>
    </row>
    <row r="46" spans="4:4" x14ac:dyDescent="0.25">
      <c r="D46" s="29"/>
    </row>
    <row r="47" spans="4:4" x14ac:dyDescent="0.25">
      <c r="D47" s="29"/>
    </row>
    <row r="48" spans="4:4" x14ac:dyDescent="0.25">
      <c r="D48" s="29"/>
    </row>
  </sheetData>
  <mergeCells count="1">
    <mergeCell ref="G7:I7"/>
  </mergeCells>
  <conditionalFormatting sqref="K9:AO28">
    <cfRule type="containsText" dxfId="47" priority="1" operator="containsText" text="L">
      <formula>NOT(ISERROR(SEARCH("L",K9)))</formula>
    </cfRule>
    <cfRule type="containsText" dxfId="46" priority="2" operator="containsText" text="A">
      <formula>NOT(ISERROR(SEARCH("A",K9)))</formula>
    </cfRule>
    <cfRule type="containsText" dxfId="45" priority="3" operator="containsText" text="P">
      <formula>NOT(ISERROR(SEARCH("P",K9)))</formula>
    </cfRule>
    <cfRule type="containsText" dxfId="44" priority="4" operator="containsText" text="WO">
      <formula>NOT(ISERROR(SEARCH("WO",K9)))</formula>
    </cfRule>
    <cfRule type="containsText" dxfId="43" priority="5" operator="containsText" text="WO">
      <formula>NOT(ISERROR(SEARCH("WO",K9)))</formula>
    </cfRule>
  </conditionalFormatting>
  <dataValidations count="1">
    <dataValidation type="list" allowBlank="1" showInputMessage="1" showErrorMessage="1" sqref="AA9:AF28 AH9:AM28 T9:Y28 K9:K28 M9:R28">
      <formula1>"P ,A ,L"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Nov!AV9:AY9</xm:f>
              <xm:sqref>BF9</xm:sqref>
            </x14:sparkline>
            <x14:sparkline>
              <xm:f>Nov!AV10:AY10</xm:f>
              <xm:sqref>BF10</xm:sqref>
            </x14:sparkline>
            <x14:sparkline>
              <xm:f>Nov!AV11:AY11</xm:f>
              <xm:sqref>BF11</xm:sqref>
            </x14:sparkline>
            <x14:sparkline>
              <xm:f>Nov!AV12:AY12</xm:f>
              <xm:sqref>BF12</xm:sqref>
            </x14:sparkline>
            <x14:sparkline>
              <xm:f>Nov!AV13:AY13</xm:f>
              <xm:sqref>BF13</xm:sqref>
            </x14:sparkline>
            <x14:sparkline>
              <xm:f>Nov!AV14:AY14</xm:f>
              <xm:sqref>BF14</xm:sqref>
            </x14:sparkline>
            <x14:sparkline>
              <xm:f>Nov!AV15:AY15</xm:f>
              <xm:sqref>BF15</xm:sqref>
            </x14:sparkline>
            <x14:sparkline>
              <xm:f>Nov!AV16:AY16</xm:f>
              <xm:sqref>BF16</xm:sqref>
            </x14:sparkline>
            <x14:sparkline>
              <xm:f>Nov!AV17:AY17</xm:f>
              <xm:sqref>BF17</xm:sqref>
            </x14:sparkline>
            <x14:sparkline>
              <xm:f>Nov!AV18:AY18</xm:f>
              <xm:sqref>BF18</xm:sqref>
            </x14:sparkline>
            <x14:sparkline>
              <xm:f>Nov!AV19:AY19</xm:f>
              <xm:sqref>BF19</xm:sqref>
            </x14:sparkline>
            <x14:sparkline>
              <xm:f>Nov!AV20:AY20</xm:f>
              <xm:sqref>BF20</xm:sqref>
            </x14:sparkline>
            <x14:sparkline>
              <xm:f>Nov!AV21:AY21</xm:f>
              <xm:sqref>BF21</xm:sqref>
            </x14:sparkline>
            <x14:sparkline>
              <xm:f>Nov!AV22:AY22</xm:f>
              <xm:sqref>BF22</xm:sqref>
            </x14:sparkline>
            <x14:sparkline>
              <xm:f>Nov!AV23:AY23</xm:f>
              <xm:sqref>BF23</xm:sqref>
            </x14:sparkline>
            <x14:sparkline>
              <xm:f>Nov!AV24:AY24</xm:f>
              <xm:sqref>BF24</xm:sqref>
            </x14:sparkline>
            <x14:sparkline>
              <xm:f>Nov!AV25:AY25</xm:f>
              <xm:sqref>BF25</xm:sqref>
            </x14:sparkline>
            <x14:sparkline>
              <xm:f>Nov!AV26:AY26</xm:f>
              <xm:sqref>BF26</xm:sqref>
            </x14:sparkline>
            <x14:sparkline>
              <xm:f>Nov!AV27:AY27</xm:f>
              <xm:sqref>BF27</xm:sqref>
            </x14:sparkline>
            <x14:sparkline>
              <xm:f>Nov!AV28:AY28</xm:f>
              <xm:sqref>BF28</xm:sqref>
            </x14:sparkline>
          </x14:sparklines>
        </x14:sparklineGroup>
      </x14:sparklineGroup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8"/>
  <sheetViews>
    <sheetView zoomScale="70" zoomScaleNormal="70" workbookViewId="0">
      <selection activeCell="J4" sqref="J4"/>
    </sheetView>
  </sheetViews>
  <sheetFormatPr defaultRowHeight="15" x14ac:dyDescent="0.25"/>
  <cols>
    <col min="1" max="3" width="9.140625" style="29"/>
    <col min="5" max="6" width="9.140625" style="29"/>
    <col min="7" max="7" width="9.140625" style="29" customWidth="1"/>
    <col min="8" max="8" width="13.140625" style="29" bestFit="1" customWidth="1"/>
    <col min="9" max="9" width="18.85546875" style="29" customWidth="1"/>
    <col min="10" max="10" width="10" style="29" bestFit="1" customWidth="1"/>
    <col min="11" max="11" width="5.7109375" style="29" customWidth="1"/>
    <col min="12" max="12" width="4.85546875" style="29" customWidth="1"/>
    <col min="13" max="13" width="5.85546875" style="29" bestFit="1" customWidth="1"/>
    <col min="14" max="14" width="4.28515625" style="29" customWidth="1"/>
    <col min="15" max="15" width="4.85546875" style="29" customWidth="1"/>
    <col min="16" max="16" width="5.5703125" style="29" customWidth="1"/>
    <col min="17" max="17" width="4.85546875" style="29" customWidth="1"/>
    <col min="18" max="18" width="5.7109375" style="29" customWidth="1"/>
    <col min="19" max="19" width="4.85546875" style="29" customWidth="1"/>
    <col min="20" max="20" width="3.7109375" style="29" customWidth="1"/>
    <col min="21" max="21" width="4.28515625" style="29" customWidth="1"/>
    <col min="22" max="22" width="4.85546875" style="29" customWidth="1"/>
    <col min="23" max="23" width="5.5703125" style="29" customWidth="1"/>
    <col min="24" max="24" width="4.85546875" style="29" customWidth="1"/>
    <col min="25" max="25" width="5.7109375" style="29" customWidth="1"/>
    <col min="26" max="26" width="4.85546875" style="29" customWidth="1"/>
    <col min="27" max="27" width="3.7109375" style="29" customWidth="1"/>
    <col min="28" max="28" width="4.28515625" style="29" customWidth="1"/>
    <col min="29" max="29" width="4.85546875" style="29" customWidth="1"/>
    <col min="30" max="30" width="5.5703125" style="29" customWidth="1"/>
    <col min="31" max="31" width="4.85546875" style="29" customWidth="1"/>
    <col min="32" max="32" width="5.7109375" style="29" customWidth="1"/>
    <col min="33" max="33" width="4.85546875" style="29" customWidth="1"/>
    <col min="34" max="34" width="5.85546875" style="29" bestFit="1" customWidth="1"/>
    <col min="35" max="35" width="4.28515625" style="29" customWidth="1"/>
    <col min="36" max="36" width="4.85546875" style="29" customWidth="1"/>
    <col min="37" max="37" width="5.5703125" style="29" customWidth="1"/>
    <col min="38" max="38" width="4.85546875" style="29" customWidth="1"/>
    <col min="39" max="39" width="5.7109375" style="29" customWidth="1"/>
    <col min="40" max="40" width="4.85546875" style="29" customWidth="1"/>
    <col min="41" max="41" width="5.85546875" style="29" bestFit="1" customWidth="1"/>
    <col min="42" max="43" width="9.140625" style="29"/>
    <col min="44" max="44" width="7.28515625" style="29" customWidth="1"/>
    <col min="45" max="46" width="14.140625" style="29" customWidth="1"/>
    <col min="47" max="47" width="17.85546875" style="29" customWidth="1"/>
    <col min="48" max="48" width="9.85546875" style="29" customWidth="1"/>
    <col min="49" max="49" width="9.28515625" style="29" customWidth="1"/>
    <col min="50" max="50" width="9.140625" style="29"/>
    <col min="51" max="51" width="11.85546875" style="29" customWidth="1"/>
    <col min="52" max="52" width="9.140625" style="29"/>
    <col min="53" max="53" width="12" style="29" customWidth="1"/>
    <col min="54" max="54" width="12.42578125" style="29" bestFit="1" customWidth="1"/>
    <col min="55" max="55" width="15.7109375" style="29" customWidth="1"/>
    <col min="56" max="56" width="12.140625" style="29" customWidth="1"/>
    <col min="57" max="57" width="13.7109375" style="29" customWidth="1"/>
    <col min="58" max="58" width="15.5703125" style="29" bestFit="1" customWidth="1"/>
    <col min="59" max="16384" width="9.140625" style="29"/>
  </cols>
  <sheetData>
    <row r="1" spans="1:59" x14ac:dyDescent="0.25">
      <c r="A1"/>
      <c r="B1"/>
      <c r="C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</row>
    <row r="2" spans="1:59" x14ac:dyDescent="0.25">
      <c r="A2"/>
      <c r="B2"/>
      <c r="C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</row>
    <row r="3" spans="1:59" x14ac:dyDescent="0.25">
      <c r="A3"/>
      <c r="B3"/>
      <c r="C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</row>
    <row r="4" spans="1:59" x14ac:dyDescent="0.25">
      <c r="A4"/>
      <c r="B4"/>
      <c r="C4"/>
      <c r="D4" s="29"/>
      <c r="F4" s="43"/>
      <c r="G4" s="43"/>
      <c r="H4" s="43"/>
      <c r="I4" s="43"/>
      <c r="J4" s="43"/>
      <c r="K4" s="43"/>
      <c r="L4" s="43"/>
      <c r="M4" s="43"/>
    </row>
    <row r="5" spans="1:59" x14ac:dyDescent="0.25">
      <c r="A5"/>
      <c r="B5"/>
      <c r="C5"/>
      <c r="D5" s="29"/>
      <c r="F5" s="43"/>
      <c r="G5" s="43" t="s">
        <v>27</v>
      </c>
      <c r="H5" s="44">
        <v>45992</v>
      </c>
      <c r="I5" s="43">
        <f>(DATEDIF($H$5,$L$5,"D"))+1</f>
        <v>31</v>
      </c>
      <c r="J5" s="43" t="str">
        <f>TEXT(H5,"MMMM")</f>
        <v>December</v>
      </c>
      <c r="K5" s="43" t="s">
        <v>28</v>
      </c>
      <c r="L5" s="44">
        <f>EOMONTH(H5,0)</f>
        <v>46022</v>
      </c>
      <c r="M5" s="43"/>
      <c r="BD5" s="30"/>
    </row>
    <row r="6" spans="1:59" ht="15.75" thickBot="1" x14ac:dyDescent="0.3">
      <c r="A6"/>
      <c r="B6"/>
      <c r="C6"/>
      <c r="D6" s="29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4"/>
      <c r="BE6" s="33"/>
      <c r="BF6" s="33"/>
      <c r="BG6" s="33"/>
    </row>
    <row r="7" spans="1:59" ht="16.5" thickTop="1" x14ac:dyDescent="0.25">
      <c r="A7"/>
      <c r="B7"/>
      <c r="C7"/>
      <c r="D7" s="29"/>
      <c r="F7" s="31"/>
      <c r="G7" s="56" t="s">
        <v>30</v>
      </c>
      <c r="H7" s="57"/>
      <c r="I7" s="58"/>
      <c r="J7" s="15" t="s">
        <v>29</v>
      </c>
      <c r="K7" s="16" t="str">
        <f>TEXT(K8,"DDD")</f>
        <v>Mon</v>
      </c>
      <c r="L7" s="16" t="str">
        <f t="shared" ref="L7:AO7" si="0">TEXT(L8,"DDD")</f>
        <v>Tue</v>
      </c>
      <c r="M7" s="16" t="str">
        <f t="shared" si="0"/>
        <v>Wed</v>
      </c>
      <c r="N7" s="16" t="str">
        <f t="shared" si="0"/>
        <v>Thu</v>
      </c>
      <c r="O7" s="16" t="str">
        <f t="shared" si="0"/>
        <v>Fri</v>
      </c>
      <c r="P7" s="16" t="str">
        <f t="shared" si="0"/>
        <v>Sat</v>
      </c>
      <c r="Q7" s="16" t="str">
        <f t="shared" si="0"/>
        <v>Sun</v>
      </c>
      <c r="R7" s="16" t="str">
        <f t="shared" si="0"/>
        <v>Mon</v>
      </c>
      <c r="S7" s="16" t="str">
        <f t="shared" si="0"/>
        <v>Tue</v>
      </c>
      <c r="T7" s="16" t="str">
        <f t="shared" si="0"/>
        <v>Wed</v>
      </c>
      <c r="U7" s="16" t="str">
        <f t="shared" si="0"/>
        <v>Thu</v>
      </c>
      <c r="V7" s="16" t="str">
        <f t="shared" si="0"/>
        <v>Fri</v>
      </c>
      <c r="W7" s="16" t="str">
        <f t="shared" si="0"/>
        <v>Sat</v>
      </c>
      <c r="X7" s="16" t="str">
        <f t="shared" si="0"/>
        <v>Sun</v>
      </c>
      <c r="Y7" s="16" t="str">
        <f t="shared" si="0"/>
        <v>Mon</v>
      </c>
      <c r="Z7" s="16" t="str">
        <f t="shared" si="0"/>
        <v>Tue</v>
      </c>
      <c r="AA7" s="16" t="str">
        <f t="shared" si="0"/>
        <v>Wed</v>
      </c>
      <c r="AB7" s="16" t="str">
        <f t="shared" si="0"/>
        <v>Thu</v>
      </c>
      <c r="AC7" s="16" t="str">
        <f t="shared" si="0"/>
        <v>Fri</v>
      </c>
      <c r="AD7" s="16" t="str">
        <f t="shared" si="0"/>
        <v>Sat</v>
      </c>
      <c r="AE7" s="16" t="str">
        <f t="shared" si="0"/>
        <v>Sun</v>
      </c>
      <c r="AF7" s="16" t="str">
        <f t="shared" si="0"/>
        <v>Mon</v>
      </c>
      <c r="AG7" s="16" t="str">
        <f t="shared" si="0"/>
        <v>Tue</v>
      </c>
      <c r="AH7" s="16" t="str">
        <f t="shared" si="0"/>
        <v>Wed</v>
      </c>
      <c r="AI7" s="16" t="str">
        <f t="shared" si="0"/>
        <v>Thu</v>
      </c>
      <c r="AJ7" s="16" t="str">
        <f t="shared" si="0"/>
        <v>Fri</v>
      </c>
      <c r="AK7" s="16" t="str">
        <f t="shared" si="0"/>
        <v>Sat</v>
      </c>
      <c r="AL7" s="16" t="str">
        <f t="shared" si="0"/>
        <v>Sun</v>
      </c>
      <c r="AM7" s="16" t="str">
        <f t="shared" si="0"/>
        <v>Mon</v>
      </c>
      <c r="AN7" s="16" t="str">
        <f t="shared" si="0"/>
        <v>Tue</v>
      </c>
      <c r="AO7" s="17" t="str">
        <f t="shared" si="0"/>
        <v>Wed</v>
      </c>
      <c r="AP7" s="31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4"/>
      <c r="BE7" s="34"/>
      <c r="BF7" s="34"/>
      <c r="BG7" s="33"/>
    </row>
    <row r="8" spans="1:59" ht="15.75" thickBot="1" x14ac:dyDescent="0.3">
      <c r="A8"/>
      <c r="B8"/>
      <c r="C8"/>
      <c r="D8" s="29"/>
      <c r="F8" s="31"/>
      <c r="G8" s="9" t="s">
        <v>23</v>
      </c>
      <c r="H8" s="10" t="s">
        <v>24</v>
      </c>
      <c r="I8" s="11" t="s">
        <v>25</v>
      </c>
      <c r="J8" s="12" t="s">
        <v>26</v>
      </c>
      <c r="K8" s="13">
        <f>H5</f>
        <v>45992</v>
      </c>
      <c r="L8" s="13">
        <f>IF(K8&lt;$L$5,K8+1,"")</f>
        <v>45993</v>
      </c>
      <c r="M8" s="13">
        <f t="shared" ref="M8:AO8" si="1">IF(L8&lt;$L$5,L8+1,"")</f>
        <v>45994</v>
      </c>
      <c r="N8" s="13">
        <f t="shared" si="1"/>
        <v>45995</v>
      </c>
      <c r="O8" s="13">
        <f t="shared" si="1"/>
        <v>45996</v>
      </c>
      <c r="P8" s="13">
        <f t="shared" si="1"/>
        <v>45997</v>
      </c>
      <c r="Q8" s="13">
        <f t="shared" si="1"/>
        <v>45998</v>
      </c>
      <c r="R8" s="13">
        <f t="shared" si="1"/>
        <v>45999</v>
      </c>
      <c r="S8" s="13">
        <f t="shared" si="1"/>
        <v>46000</v>
      </c>
      <c r="T8" s="13">
        <f t="shared" si="1"/>
        <v>46001</v>
      </c>
      <c r="U8" s="13">
        <f t="shared" si="1"/>
        <v>46002</v>
      </c>
      <c r="V8" s="13">
        <f t="shared" si="1"/>
        <v>46003</v>
      </c>
      <c r="W8" s="13">
        <f t="shared" si="1"/>
        <v>46004</v>
      </c>
      <c r="X8" s="13">
        <f t="shared" si="1"/>
        <v>46005</v>
      </c>
      <c r="Y8" s="13">
        <f t="shared" si="1"/>
        <v>46006</v>
      </c>
      <c r="Z8" s="13">
        <f t="shared" si="1"/>
        <v>46007</v>
      </c>
      <c r="AA8" s="13">
        <f t="shared" si="1"/>
        <v>46008</v>
      </c>
      <c r="AB8" s="13">
        <f t="shared" si="1"/>
        <v>46009</v>
      </c>
      <c r="AC8" s="13">
        <f t="shared" si="1"/>
        <v>46010</v>
      </c>
      <c r="AD8" s="13">
        <f t="shared" si="1"/>
        <v>46011</v>
      </c>
      <c r="AE8" s="13">
        <f t="shared" si="1"/>
        <v>46012</v>
      </c>
      <c r="AF8" s="13">
        <f t="shared" si="1"/>
        <v>46013</v>
      </c>
      <c r="AG8" s="13">
        <f t="shared" si="1"/>
        <v>46014</v>
      </c>
      <c r="AH8" s="13">
        <f t="shared" si="1"/>
        <v>46015</v>
      </c>
      <c r="AI8" s="13">
        <f t="shared" si="1"/>
        <v>46016</v>
      </c>
      <c r="AJ8" s="13">
        <f t="shared" si="1"/>
        <v>46017</v>
      </c>
      <c r="AK8" s="13">
        <f t="shared" si="1"/>
        <v>46018</v>
      </c>
      <c r="AL8" s="13">
        <f t="shared" si="1"/>
        <v>46019</v>
      </c>
      <c r="AM8" s="13">
        <f t="shared" si="1"/>
        <v>46020</v>
      </c>
      <c r="AN8" s="13">
        <f t="shared" si="1"/>
        <v>46021</v>
      </c>
      <c r="AO8" s="14">
        <f t="shared" si="1"/>
        <v>46022</v>
      </c>
      <c r="AP8" s="32"/>
      <c r="AQ8" s="35"/>
      <c r="AR8" s="18" t="s">
        <v>23</v>
      </c>
      <c r="AS8" s="18" t="s">
        <v>24</v>
      </c>
      <c r="AT8" s="18" t="s">
        <v>41</v>
      </c>
      <c r="AU8" s="18" t="s">
        <v>25</v>
      </c>
      <c r="AV8" s="25" t="s">
        <v>31</v>
      </c>
      <c r="AW8" s="18" t="s">
        <v>32</v>
      </c>
      <c r="AX8" s="18" t="s">
        <v>33</v>
      </c>
      <c r="AY8" s="18" t="s">
        <v>34</v>
      </c>
      <c r="AZ8" s="18" t="s">
        <v>29</v>
      </c>
      <c r="BA8" s="18" t="s">
        <v>35</v>
      </c>
      <c r="BB8" s="18" t="s">
        <v>36</v>
      </c>
      <c r="BC8" s="18" t="s">
        <v>37</v>
      </c>
      <c r="BD8" s="28" t="s">
        <v>38</v>
      </c>
      <c r="BE8" s="28" t="s">
        <v>39</v>
      </c>
      <c r="BF8" s="28" t="s">
        <v>40</v>
      </c>
      <c r="BG8" s="36"/>
    </row>
    <row r="9" spans="1:59" ht="16.5" thickTop="1" x14ac:dyDescent="0.25">
      <c r="A9"/>
      <c r="B9"/>
      <c r="C9"/>
      <c r="D9" s="29"/>
      <c r="F9" s="31"/>
      <c r="G9" s="3">
        <v>1</v>
      </c>
      <c r="H9" s="4">
        <v>1001</v>
      </c>
      <c r="I9" s="5" t="s">
        <v>3</v>
      </c>
      <c r="J9" s="37">
        <f>COUNTIF($K$7:$AO$7,"Sun")</f>
        <v>4</v>
      </c>
      <c r="K9" s="38" t="s">
        <v>43</v>
      </c>
      <c r="L9" s="38" t="s">
        <v>43</v>
      </c>
      <c r="M9" s="38" t="s">
        <v>43</v>
      </c>
      <c r="N9" s="38" t="s">
        <v>43</v>
      </c>
      <c r="O9" s="38" t="s">
        <v>43</v>
      </c>
      <c r="P9" s="38" t="s">
        <v>43</v>
      </c>
      <c r="Q9" s="38" t="str">
        <f t="shared" ref="Q9:AL17" si="2">IF(Q$7="Sun","WO","")</f>
        <v>WO</v>
      </c>
      <c r="R9" s="38" t="s">
        <v>43</v>
      </c>
      <c r="S9" s="38" t="s">
        <v>43</v>
      </c>
      <c r="T9" s="38" t="s">
        <v>43</v>
      </c>
      <c r="U9" s="38" t="s">
        <v>43</v>
      </c>
      <c r="V9" s="38" t="s">
        <v>43</v>
      </c>
      <c r="W9" s="38" t="s">
        <v>42</v>
      </c>
      <c r="X9" s="38" t="str">
        <f t="shared" si="2"/>
        <v>WO</v>
      </c>
      <c r="Y9" s="38" t="s">
        <v>43</v>
      </c>
      <c r="Z9" s="38" t="s">
        <v>43</v>
      </c>
      <c r="AA9" s="38" t="s">
        <v>43</v>
      </c>
      <c r="AB9" s="38" t="s">
        <v>43</v>
      </c>
      <c r="AC9" s="38" t="s">
        <v>43</v>
      </c>
      <c r="AD9" s="38" t="s">
        <v>43</v>
      </c>
      <c r="AE9" s="38" t="str">
        <f t="shared" si="2"/>
        <v>WO</v>
      </c>
      <c r="AF9" s="38" t="s">
        <v>43</v>
      </c>
      <c r="AG9" s="38" t="s">
        <v>43</v>
      </c>
      <c r="AH9" s="38" t="s">
        <v>44</v>
      </c>
      <c r="AI9" s="38" t="s">
        <v>42</v>
      </c>
      <c r="AJ9" s="38" t="s">
        <v>43</v>
      </c>
      <c r="AK9" s="38" t="s">
        <v>43</v>
      </c>
      <c r="AL9" s="38" t="str">
        <f t="shared" si="2"/>
        <v>WO</v>
      </c>
      <c r="AM9" s="38" t="s">
        <v>43</v>
      </c>
      <c r="AN9" s="38" t="s">
        <v>43</v>
      </c>
      <c r="AO9" s="39" t="s">
        <v>43</v>
      </c>
      <c r="AP9" s="31"/>
      <c r="AQ9" s="36"/>
      <c r="AR9" s="19">
        <v>1</v>
      </c>
      <c r="AS9" s="19">
        <v>1001</v>
      </c>
      <c r="AT9" s="19" t="str">
        <f t="shared" ref="AT9:AT28" si="3">$J$5</f>
        <v>December</v>
      </c>
      <c r="AU9" s="19" t="s">
        <v>3</v>
      </c>
      <c r="AV9" s="26">
        <f t="shared" ref="AV9:AV28" si="4">COUNTIF($K9:$AO9,"*P*")</f>
        <v>24</v>
      </c>
      <c r="AW9" s="20">
        <f t="shared" ref="AW9:AW28" si="5">COUNTIF($K9:$AO9,"*A*")</f>
        <v>1</v>
      </c>
      <c r="AX9" s="20">
        <f t="shared" ref="AX9:AX28" si="6">COUNTIF($K9:$AO9,"L")</f>
        <v>2</v>
      </c>
      <c r="AY9" s="20">
        <f t="shared" ref="AY9:AY28" si="7">$J$9</f>
        <v>4</v>
      </c>
      <c r="AZ9" s="20">
        <f t="shared" ref="AZ9:AZ28" si="8">$I$5</f>
        <v>31</v>
      </c>
      <c r="BA9" s="20">
        <f>Dec_Month[[#This Row],[Days]]-Dec_Month[[#This Row],[Absent]]</f>
        <v>30</v>
      </c>
      <c r="BB9" s="21">
        <v>10000</v>
      </c>
      <c r="BC9" s="21">
        <f>Dec_Month[[#This Row],[Salary]]/Dec_Month[[#This Row],[Days]]</f>
        <v>322.58064516129031</v>
      </c>
      <c r="BD9" s="24">
        <f>Dec_Month[[#This Row],[PerDay Salary]]*Dec_Month[[#This Row],[Absent]]</f>
        <v>322.58064516129031</v>
      </c>
      <c r="BE9" s="23">
        <f>Dec_Month[[#This Row],[Salary]]-Dec_Month[[#This Row],[Deduction]]</f>
        <v>9677.4193548387102</v>
      </c>
      <c r="BF9" s="22"/>
      <c r="BG9" s="36"/>
    </row>
    <row r="10" spans="1:59" ht="15.75" x14ac:dyDescent="0.25">
      <c r="A10"/>
      <c r="B10"/>
      <c r="C10"/>
      <c r="D10" s="29"/>
      <c r="F10" s="31"/>
      <c r="G10" s="3">
        <v>2</v>
      </c>
      <c r="H10" s="4">
        <v>1002</v>
      </c>
      <c r="I10" s="5" t="s">
        <v>4</v>
      </c>
      <c r="J10" s="37">
        <f t="shared" ref="J10:J28" si="9">COUNTIF($K$7:$AO$7,"Sun")</f>
        <v>4</v>
      </c>
      <c r="K10" s="38" t="s">
        <v>43</v>
      </c>
      <c r="L10" s="38" t="s">
        <v>44</v>
      </c>
      <c r="M10" s="38" t="s">
        <v>43</v>
      </c>
      <c r="N10" s="38" t="s">
        <v>43</v>
      </c>
      <c r="O10" s="38" t="s">
        <v>43</v>
      </c>
      <c r="P10" s="38" t="s">
        <v>43</v>
      </c>
      <c r="Q10" s="38" t="str">
        <f t="shared" si="2"/>
        <v>WO</v>
      </c>
      <c r="R10" s="38" t="s">
        <v>43</v>
      </c>
      <c r="S10" s="38" t="s">
        <v>43</v>
      </c>
      <c r="T10" s="38" t="s">
        <v>43</v>
      </c>
      <c r="U10" s="38" t="s">
        <v>43</v>
      </c>
      <c r="V10" s="38" t="s">
        <v>43</v>
      </c>
      <c r="W10" s="38" t="s">
        <v>42</v>
      </c>
      <c r="X10" s="38" t="str">
        <f t="shared" si="2"/>
        <v>WO</v>
      </c>
      <c r="Y10" s="38" t="s">
        <v>43</v>
      </c>
      <c r="Z10" s="38" t="s">
        <v>43</v>
      </c>
      <c r="AA10" s="38" t="s">
        <v>43</v>
      </c>
      <c r="AB10" s="38" t="s">
        <v>43</v>
      </c>
      <c r="AC10" s="38" t="s">
        <v>43</v>
      </c>
      <c r="AD10" s="38" t="s">
        <v>43</v>
      </c>
      <c r="AE10" s="38" t="str">
        <f t="shared" si="2"/>
        <v>WO</v>
      </c>
      <c r="AF10" s="38" t="s">
        <v>43</v>
      </c>
      <c r="AG10" s="38" t="s">
        <v>44</v>
      </c>
      <c r="AH10" s="38" t="s">
        <v>43</v>
      </c>
      <c r="AI10" s="38" t="s">
        <v>42</v>
      </c>
      <c r="AJ10" s="38" t="s">
        <v>43</v>
      </c>
      <c r="AK10" s="38" t="s">
        <v>43</v>
      </c>
      <c r="AL10" s="38" t="str">
        <f t="shared" si="2"/>
        <v>WO</v>
      </c>
      <c r="AM10" s="38" t="s">
        <v>43</v>
      </c>
      <c r="AN10" s="38" t="s">
        <v>43</v>
      </c>
      <c r="AO10" s="39" t="s">
        <v>43</v>
      </c>
      <c r="AP10" s="31"/>
      <c r="AQ10" s="36"/>
      <c r="AR10" s="19">
        <v>2</v>
      </c>
      <c r="AS10" s="19">
        <v>1002</v>
      </c>
      <c r="AT10" s="19" t="str">
        <f t="shared" si="3"/>
        <v>December</v>
      </c>
      <c r="AU10" s="19" t="s">
        <v>4</v>
      </c>
      <c r="AV10" s="27">
        <f t="shared" si="4"/>
        <v>23</v>
      </c>
      <c r="AW10" s="22">
        <f t="shared" si="5"/>
        <v>2</v>
      </c>
      <c r="AX10" s="22">
        <f t="shared" si="6"/>
        <v>2</v>
      </c>
      <c r="AY10" s="22">
        <f t="shared" si="7"/>
        <v>4</v>
      </c>
      <c r="AZ10" s="22">
        <f t="shared" si="8"/>
        <v>31</v>
      </c>
      <c r="BA10" s="22">
        <f>Dec_Month[[#This Row],[Days]]-Dec_Month[[#This Row],[Absent]]</f>
        <v>29</v>
      </c>
      <c r="BB10" s="23">
        <v>20000</v>
      </c>
      <c r="BC10" s="23">
        <f>Dec_Month[[#This Row],[Salary]]/Dec_Month[[#This Row],[Days]]</f>
        <v>645.16129032258061</v>
      </c>
      <c r="BD10" s="24">
        <f>Dec_Month[[#This Row],[PerDay Salary]]*Dec_Month[[#This Row],[Absent]]</f>
        <v>1290.3225806451612</v>
      </c>
      <c r="BE10" s="23">
        <f>Dec_Month[[#This Row],[Salary]]-Dec_Month[[#This Row],[Deduction]]</f>
        <v>18709.677419354837</v>
      </c>
      <c r="BF10" s="22"/>
      <c r="BG10" s="36"/>
    </row>
    <row r="11" spans="1:59" ht="15.75" x14ac:dyDescent="0.25">
      <c r="A11"/>
      <c r="B11"/>
      <c r="C11"/>
      <c r="D11" s="29"/>
      <c r="F11" s="31"/>
      <c r="G11" s="3">
        <v>3</v>
      </c>
      <c r="H11" s="4">
        <v>1003</v>
      </c>
      <c r="I11" s="5" t="s">
        <v>5</v>
      </c>
      <c r="J11" s="37">
        <f t="shared" si="9"/>
        <v>4</v>
      </c>
      <c r="K11" s="38" t="s">
        <v>43</v>
      </c>
      <c r="L11" s="38" t="s">
        <v>43</v>
      </c>
      <c r="M11" s="38" t="s">
        <v>43</v>
      </c>
      <c r="N11" s="38" t="s">
        <v>43</v>
      </c>
      <c r="O11" s="38" t="s">
        <v>43</v>
      </c>
      <c r="P11" s="38" t="s">
        <v>43</v>
      </c>
      <c r="Q11" s="38" t="str">
        <f t="shared" si="2"/>
        <v>WO</v>
      </c>
      <c r="R11" s="38" t="s">
        <v>43</v>
      </c>
      <c r="S11" s="38" t="s">
        <v>43</v>
      </c>
      <c r="T11" s="38" t="s">
        <v>43</v>
      </c>
      <c r="U11" s="38" t="s">
        <v>43</v>
      </c>
      <c r="V11" s="38" t="s">
        <v>43</v>
      </c>
      <c r="W11" s="38" t="s">
        <v>42</v>
      </c>
      <c r="X11" s="38" t="str">
        <f t="shared" si="2"/>
        <v>WO</v>
      </c>
      <c r="Y11" s="38" t="s">
        <v>43</v>
      </c>
      <c r="Z11" s="38" t="s">
        <v>43</v>
      </c>
      <c r="AA11" s="38" t="s">
        <v>43</v>
      </c>
      <c r="AB11" s="38" t="s">
        <v>43</v>
      </c>
      <c r="AC11" s="38" t="s">
        <v>43</v>
      </c>
      <c r="AD11" s="38" t="s">
        <v>43</v>
      </c>
      <c r="AE11" s="38" t="str">
        <f t="shared" si="2"/>
        <v>WO</v>
      </c>
      <c r="AF11" s="38" t="s">
        <v>44</v>
      </c>
      <c r="AG11" s="38" t="s">
        <v>43</v>
      </c>
      <c r="AH11" s="38" t="s">
        <v>43</v>
      </c>
      <c r="AI11" s="38" t="s">
        <v>42</v>
      </c>
      <c r="AJ11" s="38" t="s">
        <v>43</v>
      </c>
      <c r="AK11" s="38" t="s">
        <v>43</v>
      </c>
      <c r="AL11" s="38" t="str">
        <f t="shared" si="2"/>
        <v>WO</v>
      </c>
      <c r="AM11" s="38" t="s">
        <v>43</v>
      </c>
      <c r="AN11" s="38" t="s">
        <v>43</v>
      </c>
      <c r="AO11" s="39" t="s">
        <v>43</v>
      </c>
      <c r="AP11" s="31"/>
      <c r="AQ11" s="36"/>
      <c r="AR11" s="19">
        <v>3</v>
      </c>
      <c r="AS11" s="19">
        <v>1003</v>
      </c>
      <c r="AT11" s="19" t="str">
        <f t="shared" si="3"/>
        <v>December</v>
      </c>
      <c r="AU11" s="19" t="s">
        <v>5</v>
      </c>
      <c r="AV11" s="27">
        <f t="shared" si="4"/>
        <v>24</v>
      </c>
      <c r="AW11" s="22">
        <f t="shared" si="5"/>
        <v>1</v>
      </c>
      <c r="AX11" s="22">
        <f t="shared" si="6"/>
        <v>2</v>
      </c>
      <c r="AY11" s="22">
        <f t="shared" si="7"/>
        <v>4</v>
      </c>
      <c r="AZ11" s="22">
        <f t="shared" si="8"/>
        <v>31</v>
      </c>
      <c r="BA11" s="22">
        <f>Dec_Month[[#This Row],[Days]]-Dec_Month[[#This Row],[Absent]]</f>
        <v>30</v>
      </c>
      <c r="BB11" s="23">
        <v>25000</v>
      </c>
      <c r="BC11" s="23">
        <f>Dec_Month[[#This Row],[Salary]]/Dec_Month[[#This Row],[Days]]</f>
        <v>806.45161290322585</v>
      </c>
      <c r="BD11" s="24">
        <f>Dec_Month[[#This Row],[PerDay Salary]]*Dec_Month[[#This Row],[Absent]]</f>
        <v>806.45161290322585</v>
      </c>
      <c r="BE11" s="23">
        <f>Dec_Month[[#This Row],[Salary]]-Dec_Month[[#This Row],[Deduction]]</f>
        <v>24193.548387096773</v>
      </c>
      <c r="BF11" s="22"/>
      <c r="BG11" s="36"/>
    </row>
    <row r="12" spans="1:59" ht="15.75" x14ac:dyDescent="0.25">
      <c r="A12"/>
      <c r="B12"/>
      <c r="C12"/>
      <c r="D12" s="29"/>
      <c r="F12" s="31"/>
      <c r="G12" s="3">
        <v>4</v>
      </c>
      <c r="H12" s="4">
        <v>1004</v>
      </c>
      <c r="I12" s="5" t="s">
        <v>6</v>
      </c>
      <c r="J12" s="37">
        <f t="shared" si="9"/>
        <v>4</v>
      </c>
      <c r="K12" s="38" t="s">
        <v>43</v>
      </c>
      <c r="L12" s="38" t="s">
        <v>43</v>
      </c>
      <c r="M12" s="38" t="s">
        <v>43</v>
      </c>
      <c r="N12" s="38" t="s">
        <v>43</v>
      </c>
      <c r="O12" s="38" t="s">
        <v>43</v>
      </c>
      <c r="P12" s="38" t="s">
        <v>43</v>
      </c>
      <c r="Q12" s="38" t="str">
        <f t="shared" si="2"/>
        <v>WO</v>
      </c>
      <c r="R12" s="38" t="s">
        <v>43</v>
      </c>
      <c r="S12" s="38" t="s">
        <v>43</v>
      </c>
      <c r="T12" s="38" t="s">
        <v>43</v>
      </c>
      <c r="U12" s="38" t="s">
        <v>43</v>
      </c>
      <c r="V12" s="38" t="s">
        <v>43</v>
      </c>
      <c r="W12" s="38" t="s">
        <v>42</v>
      </c>
      <c r="X12" s="38" t="str">
        <f t="shared" si="2"/>
        <v>WO</v>
      </c>
      <c r="Y12" s="38" t="s">
        <v>43</v>
      </c>
      <c r="Z12" s="38" t="s">
        <v>43</v>
      </c>
      <c r="AA12" s="38" t="s">
        <v>43</v>
      </c>
      <c r="AB12" s="38" t="s">
        <v>43</v>
      </c>
      <c r="AC12" s="38" t="s">
        <v>43</v>
      </c>
      <c r="AD12" s="38" t="s">
        <v>44</v>
      </c>
      <c r="AE12" s="38" t="str">
        <f t="shared" si="2"/>
        <v>WO</v>
      </c>
      <c r="AF12" s="38" t="s">
        <v>43</v>
      </c>
      <c r="AG12" s="38" t="s">
        <v>43</v>
      </c>
      <c r="AH12" s="38" t="s">
        <v>43</v>
      </c>
      <c r="AI12" s="38" t="s">
        <v>42</v>
      </c>
      <c r="AJ12" s="38" t="s">
        <v>43</v>
      </c>
      <c r="AK12" s="38" t="s">
        <v>43</v>
      </c>
      <c r="AL12" s="38" t="str">
        <f t="shared" si="2"/>
        <v>WO</v>
      </c>
      <c r="AM12" s="38" t="s">
        <v>43</v>
      </c>
      <c r="AN12" s="38" t="s">
        <v>43</v>
      </c>
      <c r="AO12" s="39" t="s">
        <v>43</v>
      </c>
      <c r="AP12" s="31"/>
      <c r="AQ12" s="36"/>
      <c r="AR12" s="19">
        <v>4</v>
      </c>
      <c r="AS12" s="19">
        <v>1004</v>
      </c>
      <c r="AT12" s="19" t="str">
        <f t="shared" si="3"/>
        <v>December</v>
      </c>
      <c r="AU12" s="19" t="s">
        <v>6</v>
      </c>
      <c r="AV12" s="27">
        <f t="shared" si="4"/>
        <v>24</v>
      </c>
      <c r="AW12" s="22">
        <f t="shared" si="5"/>
        <v>1</v>
      </c>
      <c r="AX12" s="22">
        <f t="shared" si="6"/>
        <v>2</v>
      </c>
      <c r="AY12" s="22">
        <f t="shared" si="7"/>
        <v>4</v>
      </c>
      <c r="AZ12" s="22">
        <f t="shared" si="8"/>
        <v>31</v>
      </c>
      <c r="BA12" s="22">
        <f>Dec_Month[[#This Row],[Days]]-Dec_Month[[#This Row],[Absent]]</f>
        <v>30</v>
      </c>
      <c r="BB12" s="23">
        <v>30000</v>
      </c>
      <c r="BC12" s="23">
        <f>Dec_Month[[#This Row],[Salary]]/Dec_Month[[#This Row],[Days]]</f>
        <v>967.74193548387098</v>
      </c>
      <c r="BD12" s="24">
        <f>Dec_Month[[#This Row],[PerDay Salary]]*Dec_Month[[#This Row],[Absent]]</f>
        <v>967.74193548387098</v>
      </c>
      <c r="BE12" s="23">
        <f>Dec_Month[[#This Row],[Salary]]-Dec_Month[[#This Row],[Deduction]]</f>
        <v>29032.258064516129</v>
      </c>
      <c r="BF12" s="22"/>
      <c r="BG12" s="36"/>
    </row>
    <row r="13" spans="1:59" ht="15.75" x14ac:dyDescent="0.25">
      <c r="A13"/>
      <c r="B13"/>
      <c r="C13"/>
      <c r="D13" s="29"/>
      <c r="F13" s="31"/>
      <c r="G13" s="3">
        <v>5</v>
      </c>
      <c r="H13" s="4">
        <v>1005</v>
      </c>
      <c r="I13" s="5" t="s">
        <v>7</v>
      </c>
      <c r="J13" s="37">
        <f t="shared" si="9"/>
        <v>4</v>
      </c>
      <c r="K13" s="38" t="s">
        <v>43</v>
      </c>
      <c r="L13" s="38" t="s">
        <v>43</v>
      </c>
      <c r="M13" s="38" t="s">
        <v>43</v>
      </c>
      <c r="N13" s="38" t="s">
        <v>43</v>
      </c>
      <c r="O13" s="38" t="s">
        <v>43</v>
      </c>
      <c r="P13" s="38" t="s">
        <v>43</v>
      </c>
      <c r="Q13" s="38" t="str">
        <f t="shared" si="2"/>
        <v>WO</v>
      </c>
      <c r="R13" s="38" t="s">
        <v>43</v>
      </c>
      <c r="S13" s="38" t="s">
        <v>43</v>
      </c>
      <c r="T13" s="38" t="s">
        <v>43</v>
      </c>
      <c r="U13" s="38" t="s">
        <v>43</v>
      </c>
      <c r="V13" s="38" t="s">
        <v>43</v>
      </c>
      <c r="W13" s="38" t="s">
        <v>42</v>
      </c>
      <c r="X13" s="38" t="str">
        <f t="shared" si="2"/>
        <v>WO</v>
      </c>
      <c r="Y13" s="38" t="s">
        <v>43</v>
      </c>
      <c r="Z13" s="38" t="s">
        <v>43</v>
      </c>
      <c r="AA13" s="38" t="s">
        <v>43</v>
      </c>
      <c r="AB13" s="38" t="s">
        <v>43</v>
      </c>
      <c r="AC13" s="38" t="s">
        <v>44</v>
      </c>
      <c r="AD13" s="38" t="s">
        <v>43</v>
      </c>
      <c r="AE13" s="38" t="str">
        <f t="shared" si="2"/>
        <v>WO</v>
      </c>
      <c r="AF13" s="38" t="s">
        <v>43</v>
      </c>
      <c r="AG13" s="38" t="s">
        <v>43</v>
      </c>
      <c r="AH13" s="38" t="s">
        <v>43</v>
      </c>
      <c r="AI13" s="38" t="s">
        <v>42</v>
      </c>
      <c r="AJ13" s="38" t="s">
        <v>43</v>
      </c>
      <c r="AK13" s="38" t="s">
        <v>43</v>
      </c>
      <c r="AL13" s="38" t="str">
        <f t="shared" si="2"/>
        <v>WO</v>
      </c>
      <c r="AM13" s="38" t="s">
        <v>43</v>
      </c>
      <c r="AN13" s="38" t="s">
        <v>43</v>
      </c>
      <c r="AO13" s="39" t="s">
        <v>43</v>
      </c>
      <c r="AP13" s="31"/>
      <c r="AQ13" s="36"/>
      <c r="AR13" s="19">
        <v>5</v>
      </c>
      <c r="AS13" s="19">
        <v>1005</v>
      </c>
      <c r="AT13" s="19" t="str">
        <f t="shared" si="3"/>
        <v>December</v>
      </c>
      <c r="AU13" s="19" t="s">
        <v>7</v>
      </c>
      <c r="AV13" s="27">
        <f t="shared" si="4"/>
        <v>24</v>
      </c>
      <c r="AW13" s="22">
        <f t="shared" si="5"/>
        <v>1</v>
      </c>
      <c r="AX13" s="22">
        <f t="shared" si="6"/>
        <v>2</v>
      </c>
      <c r="AY13" s="22">
        <f t="shared" si="7"/>
        <v>4</v>
      </c>
      <c r="AZ13" s="22">
        <f t="shared" si="8"/>
        <v>31</v>
      </c>
      <c r="BA13" s="22">
        <f>Dec_Month[[#This Row],[Days]]-Dec_Month[[#This Row],[Absent]]</f>
        <v>30</v>
      </c>
      <c r="BB13" s="23">
        <v>45000</v>
      </c>
      <c r="BC13" s="23">
        <f>Dec_Month[[#This Row],[Salary]]/Dec_Month[[#This Row],[Days]]</f>
        <v>1451.6129032258063</v>
      </c>
      <c r="BD13" s="24">
        <f>Dec_Month[[#This Row],[PerDay Salary]]*Dec_Month[[#This Row],[Absent]]</f>
        <v>1451.6129032258063</v>
      </c>
      <c r="BE13" s="23">
        <f>Dec_Month[[#This Row],[Salary]]-Dec_Month[[#This Row],[Deduction]]</f>
        <v>43548.387096774197</v>
      </c>
      <c r="BF13" s="22"/>
      <c r="BG13" s="36"/>
    </row>
    <row r="14" spans="1:59" ht="15.75" x14ac:dyDescent="0.25">
      <c r="A14"/>
      <c r="B14"/>
      <c r="C14"/>
      <c r="D14" s="29"/>
      <c r="F14" s="31"/>
      <c r="G14" s="3">
        <v>6</v>
      </c>
      <c r="H14" s="4">
        <v>1006</v>
      </c>
      <c r="I14" s="5" t="s">
        <v>8</v>
      </c>
      <c r="J14" s="37">
        <f t="shared" si="9"/>
        <v>4</v>
      </c>
      <c r="K14" s="38" t="s">
        <v>43</v>
      </c>
      <c r="L14" s="38" t="s">
        <v>43</v>
      </c>
      <c r="M14" s="38" t="s">
        <v>44</v>
      </c>
      <c r="N14" s="38" t="s">
        <v>43</v>
      </c>
      <c r="O14" s="38" t="s">
        <v>43</v>
      </c>
      <c r="P14" s="38" t="s">
        <v>43</v>
      </c>
      <c r="Q14" s="38" t="str">
        <f t="shared" si="2"/>
        <v>WO</v>
      </c>
      <c r="R14" s="38" t="s">
        <v>43</v>
      </c>
      <c r="S14" s="38" t="s">
        <v>43</v>
      </c>
      <c r="T14" s="38" t="s">
        <v>43</v>
      </c>
      <c r="U14" s="38" t="s">
        <v>43</v>
      </c>
      <c r="V14" s="38" t="s">
        <v>43</v>
      </c>
      <c r="W14" s="38" t="s">
        <v>42</v>
      </c>
      <c r="X14" s="38" t="str">
        <f t="shared" si="2"/>
        <v>WO</v>
      </c>
      <c r="Y14" s="38" t="s">
        <v>43</v>
      </c>
      <c r="Z14" s="38" t="s">
        <v>43</v>
      </c>
      <c r="AA14" s="38" t="s">
        <v>43</v>
      </c>
      <c r="AB14" s="38" t="s">
        <v>44</v>
      </c>
      <c r="AC14" s="38" t="s">
        <v>43</v>
      </c>
      <c r="AD14" s="38" t="s">
        <v>43</v>
      </c>
      <c r="AE14" s="38" t="str">
        <f t="shared" si="2"/>
        <v>WO</v>
      </c>
      <c r="AF14" s="38" t="s">
        <v>43</v>
      </c>
      <c r="AG14" s="38" t="s">
        <v>43</v>
      </c>
      <c r="AH14" s="38" t="s">
        <v>43</v>
      </c>
      <c r="AI14" s="38" t="s">
        <v>42</v>
      </c>
      <c r="AJ14" s="38" t="s">
        <v>43</v>
      </c>
      <c r="AK14" s="38" t="s">
        <v>43</v>
      </c>
      <c r="AL14" s="38" t="str">
        <f t="shared" si="2"/>
        <v>WO</v>
      </c>
      <c r="AM14" s="38" t="s">
        <v>43</v>
      </c>
      <c r="AN14" s="38" t="s">
        <v>43</v>
      </c>
      <c r="AO14" s="39" t="s">
        <v>43</v>
      </c>
      <c r="AP14" s="31"/>
      <c r="AQ14" s="36"/>
      <c r="AR14" s="19">
        <v>6</v>
      </c>
      <c r="AS14" s="19">
        <v>1006</v>
      </c>
      <c r="AT14" s="19" t="str">
        <f t="shared" si="3"/>
        <v>December</v>
      </c>
      <c r="AU14" s="19" t="s">
        <v>8</v>
      </c>
      <c r="AV14" s="27">
        <f t="shared" si="4"/>
        <v>23</v>
      </c>
      <c r="AW14" s="22">
        <f t="shared" si="5"/>
        <v>2</v>
      </c>
      <c r="AX14" s="22">
        <f t="shared" si="6"/>
        <v>2</v>
      </c>
      <c r="AY14" s="22">
        <f t="shared" si="7"/>
        <v>4</v>
      </c>
      <c r="AZ14" s="22">
        <f t="shared" si="8"/>
        <v>31</v>
      </c>
      <c r="BA14" s="22">
        <f>Dec_Month[[#This Row],[Days]]-Dec_Month[[#This Row],[Absent]]</f>
        <v>29</v>
      </c>
      <c r="BB14" s="23">
        <v>15000</v>
      </c>
      <c r="BC14" s="23">
        <f>Dec_Month[[#This Row],[Salary]]/Dec_Month[[#This Row],[Days]]</f>
        <v>483.87096774193549</v>
      </c>
      <c r="BD14" s="24">
        <f>Dec_Month[[#This Row],[PerDay Salary]]*Dec_Month[[#This Row],[Absent]]</f>
        <v>967.74193548387098</v>
      </c>
      <c r="BE14" s="23">
        <f>Dec_Month[[#This Row],[Salary]]-Dec_Month[[#This Row],[Deduction]]</f>
        <v>14032.258064516129</v>
      </c>
      <c r="BF14" s="22"/>
      <c r="BG14" s="36"/>
    </row>
    <row r="15" spans="1:59" ht="15.75" x14ac:dyDescent="0.25">
      <c r="A15"/>
      <c r="B15"/>
      <c r="C15"/>
      <c r="D15" s="29"/>
      <c r="F15" s="31"/>
      <c r="G15" s="3">
        <v>7</v>
      </c>
      <c r="H15" s="4">
        <v>1007</v>
      </c>
      <c r="I15" s="5" t="s">
        <v>9</v>
      </c>
      <c r="J15" s="37">
        <f t="shared" si="9"/>
        <v>4</v>
      </c>
      <c r="K15" s="38" t="s">
        <v>43</v>
      </c>
      <c r="L15" s="38" t="s">
        <v>43</v>
      </c>
      <c r="M15" s="38" t="s">
        <v>43</v>
      </c>
      <c r="N15" s="38" t="s">
        <v>43</v>
      </c>
      <c r="O15" s="38" t="s">
        <v>43</v>
      </c>
      <c r="P15" s="38" t="s">
        <v>43</v>
      </c>
      <c r="Q15" s="38" t="str">
        <f t="shared" si="2"/>
        <v>WO</v>
      </c>
      <c r="R15" s="38" t="s">
        <v>43</v>
      </c>
      <c r="S15" s="38" t="s">
        <v>43</v>
      </c>
      <c r="T15" s="38" t="s">
        <v>43</v>
      </c>
      <c r="U15" s="38" t="s">
        <v>43</v>
      </c>
      <c r="V15" s="38" t="s">
        <v>43</v>
      </c>
      <c r="W15" s="38" t="s">
        <v>42</v>
      </c>
      <c r="X15" s="38" t="str">
        <f t="shared" si="2"/>
        <v>WO</v>
      </c>
      <c r="Y15" s="38" t="s">
        <v>43</v>
      </c>
      <c r="Z15" s="38" t="s">
        <v>43</v>
      </c>
      <c r="AA15" s="38" t="s">
        <v>44</v>
      </c>
      <c r="AB15" s="38" t="s">
        <v>43</v>
      </c>
      <c r="AC15" s="38" t="s">
        <v>43</v>
      </c>
      <c r="AD15" s="38" t="s">
        <v>43</v>
      </c>
      <c r="AE15" s="38" t="str">
        <f t="shared" si="2"/>
        <v>WO</v>
      </c>
      <c r="AF15" s="38" t="s">
        <v>43</v>
      </c>
      <c r="AG15" s="38" t="s">
        <v>43</v>
      </c>
      <c r="AH15" s="38" t="s">
        <v>43</v>
      </c>
      <c r="AI15" s="38" t="s">
        <v>42</v>
      </c>
      <c r="AJ15" s="38" t="s">
        <v>43</v>
      </c>
      <c r="AK15" s="38" t="s">
        <v>43</v>
      </c>
      <c r="AL15" s="38" t="str">
        <f t="shared" si="2"/>
        <v>WO</v>
      </c>
      <c r="AM15" s="38" t="s">
        <v>43</v>
      </c>
      <c r="AN15" s="38" t="s">
        <v>43</v>
      </c>
      <c r="AO15" s="39" t="s">
        <v>43</v>
      </c>
      <c r="AP15" s="31"/>
      <c r="AQ15" s="36"/>
      <c r="AR15" s="19">
        <v>7</v>
      </c>
      <c r="AS15" s="19">
        <v>1007</v>
      </c>
      <c r="AT15" s="19" t="str">
        <f t="shared" si="3"/>
        <v>December</v>
      </c>
      <c r="AU15" s="19" t="s">
        <v>9</v>
      </c>
      <c r="AV15" s="27">
        <f t="shared" si="4"/>
        <v>24</v>
      </c>
      <c r="AW15" s="22">
        <f t="shared" si="5"/>
        <v>1</v>
      </c>
      <c r="AX15" s="22">
        <f t="shared" si="6"/>
        <v>2</v>
      </c>
      <c r="AY15" s="22">
        <f t="shared" si="7"/>
        <v>4</v>
      </c>
      <c r="AZ15" s="22">
        <f t="shared" si="8"/>
        <v>31</v>
      </c>
      <c r="BA15" s="22">
        <f>Dec_Month[[#This Row],[Days]]-Dec_Month[[#This Row],[Absent]]</f>
        <v>30</v>
      </c>
      <c r="BB15" s="23">
        <v>62000</v>
      </c>
      <c r="BC15" s="23">
        <f>Dec_Month[[#This Row],[Salary]]/Dec_Month[[#This Row],[Days]]</f>
        <v>2000</v>
      </c>
      <c r="BD15" s="24">
        <f>Dec_Month[[#This Row],[PerDay Salary]]*Dec_Month[[#This Row],[Absent]]</f>
        <v>2000</v>
      </c>
      <c r="BE15" s="23">
        <f>Dec_Month[[#This Row],[Salary]]-Dec_Month[[#This Row],[Deduction]]</f>
        <v>60000</v>
      </c>
      <c r="BF15" s="22"/>
      <c r="BG15" s="36"/>
    </row>
    <row r="16" spans="1:59" ht="15.75" x14ac:dyDescent="0.25">
      <c r="A16"/>
      <c r="B16"/>
      <c r="C16"/>
      <c r="D16" s="29"/>
      <c r="F16" s="31"/>
      <c r="G16" s="3">
        <v>8</v>
      </c>
      <c r="H16" s="4">
        <v>1008</v>
      </c>
      <c r="I16" s="5" t="s">
        <v>10</v>
      </c>
      <c r="J16" s="37">
        <f t="shared" si="9"/>
        <v>4</v>
      </c>
      <c r="K16" s="38" t="s">
        <v>43</v>
      </c>
      <c r="L16" s="38" t="s">
        <v>43</v>
      </c>
      <c r="M16" s="38" t="s">
        <v>43</v>
      </c>
      <c r="N16" s="38" t="s">
        <v>43</v>
      </c>
      <c r="O16" s="38" t="s">
        <v>44</v>
      </c>
      <c r="P16" s="38" t="s">
        <v>43</v>
      </c>
      <c r="Q16" s="38" t="str">
        <f t="shared" si="2"/>
        <v>WO</v>
      </c>
      <c r="R16" s="38" t="s">
        <v>43</v>
      </c>
      <c r="S16" s="38" t="s">
        <v>43</v>
      </c>
      <c r="T16" s="38" t="s">
        <v>43</v>
      </c>
      <c r="U16" s="38" t="s">
        <v>43</v>
      </c>
      <c r="V16" s="38" t="s">
        <v>43</v>
      </c>
      <c r="W16" s="38" t="s">
        <v>42</v>
      </c>
      <c r="X16" s="38" t="str">
        <f t="shared" si="2"/>
        <v>WO</v>
      </c>
      <c r="Y16" s="38" t="s">
        <v>43</v>
      </c>
      <c r="Z16" s="38" t="s">
        <v>44</v>
      </c>
      <c r="AA16" s="38" t="s">
        <v>43</v>
      </c>
      <c r="AB16" s="38" t="s">
        <v>43</v>
      </c>
      <c r="AC16" s="38" t="s">
        <v>43</v>
      </c>
      <c r="AD16" s="38" t="s">
        <v>43</v>
      </c>
      <c r="AE16" s="38" t="str">
        <f t="shared" si="2"/>
        <v>WO</v>
      </c>
      <c r="AF16" s="38" t="s">
        <v>43</v>
      </c>
      <c r="AG16" s="38" t="s">
        <v>43</v>
      </c>
      <c r="AH16" s="38" t="s">
        <v>43</v>
      </c>
      <c r="AI16" s="38" t="s">
        <v>42</v>
      </c>
      <c r="AJ16" s="38" t="s">
        <v>43</v>
      </c>
      <c r="AK16" s="38" t="s">
        <v>43</v>
      </c>
      <c r="AL16" s="38" t="str">
        <f t="shared" si="2"/>
        <v>WO</v>
      </c>
      <c r="AM16" s="38" t="s">
        <v>43</v>
      </c>
      <c r="AN16" s="38" t="s">
        <v>43</v>
      </c>
      <c r="AO16" s="39" t="s">
        <v>43</v>
      </c>
      <c r="AP16" s="31"/>
      <c r="AQ16" s="36"/>
      <c r="AR16" s="19">
        <v>8</v>
      </c>
      <c r="AS16" s="19">
        <v>1008</v>
      </c>
      <c r="AT16" s="19" t="str">
        <f t="shared" si="3"/>
        <v>December</v>
      </c>
      <c r="AU16" s="19" t="s">
        <v>10</v>
      </c>
      <c r="AV16" s="27">
        <f t="shared" si="4"/>
        <v>23</v>
      </c>
      <c r="AW16" s="22">
        <f t="shared" si="5"/>
        <v>2</v>
      </c>
      <c r="AX16" s="22">
        <f t="shared" si="6"/>
        <v>2</v>
      </c>
      <c r="AY16" s="22">
        <f t="shared" si="7"/>
        <v>4</v>
      </c>
      <c r="AZ16" s="22">
        <f t="shared" si="8"/>
        <v>31</v>
      </c>
      <c r="BA16" s="22">
        <f>Dec_Month[[#This Row],[Days]]-Dec_Month[[#This Row],[Absent]]</f>
        <v>29</v>
      </c>
      <c r="BB16" s="23">
        <v>50000</v>
      </c>
      <c r="BC16" s="23">
        <f>Dec_Month[[#This Row],[Salary]]/Dec_Month[[#This Row],[Days]]</f>
        <v>1612.9032258064517</v>
      </c>
      <c r="BD16" s="24">
        <f>Dec_Month[[#This Row],[PerDay Salary]]*Dec_Month[[#This Row],[Absent]]</f>
        <v>3225.8064516129034</v>
      </c>
      <c r="BE16" s="23">
        <f>Dec_Month[[#This Row],[Salary]]-Dec_Month[[#This Row],[Deduction]]</f>
        <v>46774.193548387098</v>
      </c>
      <c r="BF16" s="22"/>
      <c r="BG16" s="36"/>
    </row>
    <row r="17" spans="1:59" ht="15.75" x14ac:dyDescent="0.25">
      <c r="A17"/>
      <c r="B17"/>
      <c r="C17"/>
      <c r="D17" s="29"/>
      <c r="F17" s="31"/>
      <c r="G17" s="3">
        <v>9</v>
      </c>
      <c r="H17" s="4">
        <v>1009</v>
      </c>
      <c r="I17" s="5" t="s">
        <v>11</v>
      </c>
      <c r="J17" s="37">
        <f t="shared" si="9"/>
        <v>4</v>
      </c>
      <c r="K17" s="38" t="s">
        <v>43</v>
      </c>
      <c r="L17" s="38" t="s">
        <v>43</v>
      </c>
      <c r="M17" s="38" t="s">
        <v>43</v>
      </c>
      <c r="N17" s="38" t="s">
        <v>43</v>
      </c>
      <c r="O17" s="38" t="s">
        <v>43</v>
      </c>
      <c r="P17" s="38" t="s">
        <v>43</v>
      </c>
      <c r="Q17" s="38" t="str">
        <f t="shared" si="2"/>
        <v>WO</v>
      </c>
      <c r="R17" s="38" t="s">
        <v>44</v>
      </c>
      <c r="S17" s="38" t="s">
        <v>43</v>
      </c>
      <c r="T17" s="38" t="s">
        <v>43</v>
      </c>
      <c r="U17" s="38" t="s">
        <v>43</v>
      </c>
      <c r="V17" s="38" t="s">
        <v>43</v>
      </c>
      <c r="W17" s="38" t="s">
        <v>42</v>
      </c>
      <c r="X17" s="38" t="str">
        <f t="shared" si="2"/>
        <v>WO</v>
      </c>
      <c r="Y17" s="38" t="s">
        <v>44</v>
      </c>
      <c r="Z17" s="38" t="s">
        <v>43</v>
      </c>
      <c r="AA17" s="38" t="s">
        <v>43</v>
      </c>
      <c r="AB17" s="38" t="s">
        <v>43</v>
      </c>
      <c r="AC17" s="38" t="s">
        <v>43</v>
      </c>
      <c r="AD17" s="38" t="s">
        <v>43</v>
      </c>
      <c r="AE17" s="38" t="str">
        <f t="shared" ref="AE17:AL17" si="10">IF(AE$7="Sun","WO","")</f>
        <v>WO</v>
      </c>
      <c r="AF17" s="38" t="s">
        <v>43</v>
      </c>
      <c r="AG17" s="38" t="s">
        <v>43</v>
      </c>
      <c r="AH17" s="38" t="s">
        <v>43</v>
      </c>
      <c r="AI17" s="38" t="s">
        <v>42</v>
      </c>
      <c r="AJ17" s="38" t="s">
        <v>43</v>
      </c>
      <c r="AK17" s="38" t="s">
        <v>43</v>
      </c>
      <c r="AL17" s="38" t="str">
        <f t="shared" si="10"/>
        <v>WO</v>
      </c>
      <c r="AM17" s="38" t="s">
        <v>43</v>
      </c>
      <c r="AN17" s="38" t="s">
        <v>43</v>
      </c>
      <c r="AO17" s="39" t="s">
        <v>43</v>
      </c>
      <c r="AP17" s="31"/>
      <c r="AQ17" s="36"/>
      <c r="AR17" s="19">
        <v>9</v>
      </c>
      <c r="AS17" s="19">
        <v>1009</v>
      </c>
      <c r="AT17" s="19" t="str">
        <f t="shared" si="3"/>
        <v>December</v>
      </c>
      <c r="AU17" s="19" t="s">
        <v>11</v>
      </c>
      <c r="AV17" s="27">
        <f t="shared" si="4"/>
        <v>23</v>
      </c>
      <c r="AW17" s="22">
        <f t="shared" si="5"/>
        <v>2</v>
      </c>
      <c r="AX17" s="22">
        <f t="shared" si="6"/>
        <v>2</v>
      </c>
      <c r="AY17" s="22">
        <f t="shared" si="7"/>
        <v>4</v>
      </c>
      <c r="AZ17" s="22">
        <f t="shared" si="8"/>
        <v>31</v>
      </c>
      <c r="BA17" s="22">
        <f>Dec_Month[[#This Row],[Days]]-Dec_Month[[#This Row],[Absent]]</f>
        <v>29</v>
      </c>
      <c r="BB17" s="23">
        <v>25000</v>
      </c>
      <c r="BC17" s="23">
        <f>Dec_Month[[#This Row],[Salary]]/Dec_Month[[#This Row],[Days]]</f>
        <v>806.45161290322585</v>
      </c>
      <c r="BD17" s="24">
        <f>Dec_Month[[#This Row],[PerDay Salary]]*Dec_Month[[#This Row],[Absent]]</f>
        <v>1612.9032258064517</v>
      </c>
      <c r="BE17" s="23">
        <f>Dec_Month[[#This Row],[Salary]]-Dec_Month[[#This Row],[Deduction]]</f>
        <v>23387.096774193549</v>
      </c>
      <c r="BF17" s="22"/>
      <c r="BG17" s="36"/>
    </row>
    <row r="18" spans="1:59" ht="15.75" x14ac:dyDescent="0.25">
      <c r="A18"/>
      <c r="B18"/>
      <c r="C18"/>
      <c r="D18" s="29"/>
      <c r="F18" s="31"/>
      <c r="G18" s="3">
        <v>10</v>
      </c>
      <c r="H18" s="4">
        <v>1010</v>
      </c>
      <c r="I18" s="5" t="s">
        <v>12</v>
      </c>
      <c r="J18" s="37">
        <f t="shared" si="9"/>
        <v>4</v>
      </c>
      <c r="K18" s="38" t="s">
        <v>43</v>
      </c>
      <c r="L18" s="38" t="s">
        <v>43</v>
      </c>
      <c r="M18" s="38" t="s">
        <v>43</v>
      </c>
      <c r="N18" s="38" t="s">
        <v>43</v>
      </c>
      <c r="O18" s="38" t="s">
        <v>43</v>
      </c>
      <c r="P18" s="38" t="s">
        <v>43</v>
      </c>
      <c r="Q18" s="38" t="str">
        <f t="shared" ref="Q18:X28" si="11">IF(Q$7="Sun","WO","")</f>
        <v>WO</v>
      </c>
      <c r="R18" s="38" t="s">
        <v>43</v>
      </c>
      <c r="S18" s="38" t="s">
        <v>43</v>
      </c>
      <c r="T18" s="38" t="s">
        <v>43</v>
      </c>
      <c r="U18" s="38" t="s">
        <v>43</v>
      </c>
      <c r="V18" s="38" t="s">
        <v>44</v>
      </c>
      <c r="W18" s="38" t="s">
        <v>42</v>
      </c>
      <c r="X18" s="38" t="str">
        <f t="shared" si="11"/>
        <v>WO</v>
      </c>
      <c r="Y18" s="38" t="s">
        <v>43</v>
      </c>
      <c r="Z18" s="38" t="s">
        <v>43</v>
      </c>
      <c r="AA18" s="38" t="s">
        <v>43</v>
      </c>
      <c r="AB18" s="38" t="s">
        <v>43</v>
      </c>
      <c r="AC18" s="38" t="s">
        <v>43</v>
      </c>
      <c r="AD18" s="38" t="s">
        <v>43</v>
      </c>
      <c r="AE18" s="38" t="str">
        <f t="shared" ref="AE18:AL28" si="12">IF(AE$7="Sun","WO","")</f>
        <v>WO</v>
      </c>
      <c r="AF18" s="38" t="s">
        <v>43</v>
      </c>
      <c r="AG18" s="38" t="s">
        <v>43</v>
      </c>
      <c r="AH18" s="38" t="s">
        <v>43</v>
      </c>
      <c r="AI18" s="38" t="s">
        <v>42</v>
      </c>
      <c r="AJ18" s="38" t="s">
        <v>43</v>
      </c>
      <c r="AK18" s="38" t="s">
        <v>44</v>
      </c>
      <c r="AL18" s="38" t="str">
        <f t="shared" si="12"/>
        <v>WO</v>
      </c>
      <c r="AM18" s="38" t="s">
        <v>43</v>
      </c>
      <c r="AN18" s="38" t="s">
        <v>43</v>
      </c>
      <c r="AO18" s="39" t="s">
        <v>43</v>
      </c>
      <c r="AP18" s="31"/>
      <c r="AQ18" s="36"/>
      <c r="AR18" s="19">
        <v>10</v>
      </c>
      <c r="AS18" s="19">
        <v>1010</v>
      </c>
      <c r="AT18" s="19" t="str">
        <f t="shared" si="3"/>
        <v>December</v>
      </c>
      <c r="AU18" s="19" t="s">
        <v>12</v>
      </c>
      <c r="AV18" s="27">
        <f t="shared" si="4"/>
        <v>23</v>
      </c>
      <c r="AW18" s="22">
        <f t="shared" si="5"/>
        <v>2</v>
      </c>
      <c r="AX18" s="22">
        <f t="shared" si="6"/>
        <v>2</v>
      </c>
      <c r="AY18" s="22">
        <f t="shared" si="7"/>
        <v>4</v>
      </c>
      <c r="AZ18" s="22">
        <f t="shared" si="8"/>
        <v>31</v>
      </c>
      <c r="BA18" s="22">
        <f>Dec_Month[[#This Row],[Days]]-Dec_Month[[#This Row],[Absent]]</f>
        <v>29</v>
      </c>
      <c r="BB18" s="23">
        <v>45000</v>
      </c>
      <c r="BC18" s="23">
        <f>Dec_Month[[#This Row],[Salary]]/Dec_Month[[#This Row],[Days]]</f>
        <v>1451.6129032258063</v>
      </c>
      <c r="BD18" s="24">
        <f>Dec_Month[[#This Row],[PerDay Salary]]*Dec_Month[[#This Row],[Absent]]</f>
        <v>2903.2258064516127</v>
      </c>
      <c r="BE18" s="23">
        <f>Dec_Month[[#This Row],[Salary]]-Dec_Month[[#This Row],[Deduction]]</f>
        <v>42096.774193548386</v>
      </c>
      <c r="BF18" s="22"/>
      <c r="BG18" s="36"/>
    </row>
    <row r="19" spans="1:59" ht="15.75" x14ac:dyDescent="0.25">
      <c r="A19"/>
      <c r="B19"/>
      <c r="C19"/>
      <c r="D19" s="29"/>
      <c r="F19" s="31"/>
      <c r="G19" s="3">
        <v>11</v>
      </c>
      <c r="H19" s="4">
        <v>1011</v>
      </c>
      <c r="I19" s="5" t="s">
        <v>13</v>
      </c>
      <c r="J19" s="37">
        <f t="shared" si="9"/>
        <v>4</v>
      </c>
      <c r="K19" s="38" t="s">
        <v>43</v>
      </c>
      <c r="L19" s="38" t="s">
        <v>43</v>
      </c>
      <c r="M19" s="38" t="s">
        <v>43</v>
      </c>
      <c r="N19" s="38" t="s">
        <v>43</v>
      </c>
      <c r="O19" s="38" t="s">
        <v>43</v>
      </c>
      <c r="P19" s="38" t="s">
        <v>43</v>
      </c>
      <c r="Q19" s="38" t="str">
        <f t="shared" si="11"/>
        <v>WO</v>
      </c>
      <c r="R19" s="38" t="s">
        <v>43</v>
      </c>
      <c r="S19" s="38" t="s">
        <v>43</v>
      </c>
      <c r="T19" s="38" t="s">
        <v>43</v>
      </c>
      <c r="U19" s="38" t="s">
        <v>44</v>
      </c>
      <c r="V19" s="38" t="s">
        <v>43</v>
      </c>
      <c r="W19" s="38" t="s">
        <v>42</v>
      </c>
      <c r="X19" s="38" t="str">
        <f t="shared" si="11"/>
        <v>WO</v>
      </c>
      <c r="Y19" s="38" t="s">
        <v>43</v>
      </c>
      <c r="Z19" s="38" t="s">
        <v>43</v>
      </c>
      <c r="AA19" s="38" t="s">
        <v>43</v>
      </c>
      <c r="AB19" s="38" t="s">
        <v>43</v>
      </c>
      <c r="AC19" s="38" t="s">
        <v>43</v>
      </c>
      <c r="AD19" s="38" t="s">
        <v>43</v>
      </c>
      <c r="AE19" s="38" t="str">
        <f t="shared" si="12"/>
        <v>WO</v>
      </c>
      <c r="AF19" s="38" t="s">
        <v>43</v>
      </c>
      <c r="AG19" s="38" t="s">
        <v>43</v>
      </c>
      <c r="AH19" s="38" t="s">
        <v>43</v>
      </c>
      <c r="AI19" s="38" t="s">
        <v>42</v>
      </c>
      <c r="AJ19" s="38" t="s">
        <v>43</v>
      </c>
      <c r="AK19" s="38" t="s">
        <v>43</v>
      </c>
      <c r="AL19" s="38" t="str">
        <f t="shared" si="12"/>
        <v>WO</v>
      </c>
      <c r="AM19" s="38" t="s">
        <v>43</v>
      </c>
      <c r="AN19" s="38" t="s">
        <v>43</v>
      </c>
      <c r="AO19" s="39" t="s">
        <v>43</v>
      </c>
      <c r="AP19" s="31"/>
      <c r="AQ19" s="36"/>
      <c r="AR19" s="19">
        <v>11</v>
      </c>
      <c r="AS19" s="19">
        <v>1011</v>
      </c>
      <c r="AT19" s="19" t="str">
        <f t="shared" si="3"/>
        <v>December</v>
      </c>
      <c r="AU19" s="19" t="s">
        <v>13</v>
      </c>
      <c r="AV19" s="27">
        <f t="shared" si="4"/>
        <v>24</v>
      </c>
      <c r="AW19" s="22">
        <f t="shared" si="5"/>
        <v>1</v>
      </c>
      <c r="AX19" s="22">
        <f t="shared" si="6"/>
        <v>2</v>
      </c>
      <c r="AY19" s="22">
        <f t="shared" si="7"/>
        <v>4</v>
      </c>
      <c r="AZ19" s="22">
        <f t="shared" si="8"/>
        <v>31</v>
      </c>
      <c r="BA19" s="22">
        <f>Dec_Month[[#This Row],[Days]]-Dec_Month[[#This Row],[Absent]]</f>
        <v>30</v>
      </c>
      <c r="BB19" s="23">
        <v>48000</v>
      </c>
      <c r="BC19" s="23">
        <f>Dec_Month[[#This Row],[Salary]]/Dec_Month[[#This Row],[Days]]</f>
        <v>1548.3870967741937</v>
      </c>
      <c r="BD19" s="24">
        <f>Dec_Month[[#This Row],[PerDay Salary]]*Dec_Month[[#This Row],[Absent]]</f>
        <v>1548.3870967741937</v>
      </c>
      <c r="BE19" s="23">
        <f>Dec_Month[[#This Row],[Salary]]-Dec_Month[[#This Row],[Deduction]]</f>
        <v>46451.612903225803</v>
      </c>
      <c r="BF19" s="22"/>
      <c r="BG19" s="36"/>
    </row>
    <row r="20" spans="1:59" ht="15.75" x14ac:dyDescent="0.25">
      <c r="A20"/>
      <c r="B20"/>
      <c r="C20"/>
      <c r="D20" s="29"/>
      <c r="F20" s="31"/>
      <c r="G20" s="3">
        <v>12</v>
      </c>
      <c r="H20" s="4">
        <v>1012</v>
      </c>
      <c r="I20" s="5" t="s">
        <v>14</v>
      </c>
      <c r="J20" s="37">
        <f t="shared" si="9"/>
        <v>4</v>
      </c>
      <c r="K20" s="38" t="s">
        <v>43</v>
      </c>
      <c r="L20" s="38" t="s">
        <v>43</v>
      </c>
      <c r="M20" s="38" t="s">
        <v>43</v>
      </c>
      <c r="N20" s="38" t="s">
        <v>43</v>
      </c>
      <c r="O20" s="38" t="s">
        <v>43</v>
      </c>
      <c r="P20" s="38" t="s">
        <v>43</v>
      </c>
      <c r="Q20" s="38" t="str">
        <f t="shared" si="11"/>
        <v>WO</v>
      </c>
      <c r="R20" s="38" t="s">
        <v>43</v>
      </c>
      <c r="S20" s="38" t="s">
        <v>43</v>
      </c>
      <c r="T20" s="38" t="s">
        <v>44</v>
      </c>
      <c r="U20" s="38" t="s">
        <v>43</v>
      </c>
      <c r="V20" s="38" t="s">
        <v>43</v>
      </c>
      <c r="W20" s="38" t="s">
        <v>42</v>
      </c>
      <c r="X20" s="38" t="str">
        <f t="shared" si="11"/>
        <v>WO</v>
      </c>
      <c r="Y20" s="38" t="s">
        <v>43</v>
      </c>
      <c r="Z20" s="38" t="s">
        <v>43</v>
      </c>
      <c r="AA20" s="38" t="s">
        <v>43</v>
      </c>
      <c r="AB20" s="38" t="s">
        <v>43</v>
      </c>
      <c r="AC20" s="38" t="s">
        <v>43</v>
      </c>
      <c r="AD20" s="38" t="s">
        <v>43</v>
      </c>
      <c r="AE20" s="38" t="str">
        <f t="shared" si="12"/>
        <v>WO</v>
      </c>
      <c r="AF20" s="38" t="s">
        <v>43</v>
      </c>
      <c r="AG20" s="38" t="s">
        <v>43</v>
      </c>
      <c r="AH20" s="38" t="s">
        <v>43</v>
      </c>
      <c r="AI20" s="38" t="s">
        <v>42</v>
      </c>
      <c r="AJ20" s="38" t="s">
        <v>43</v>
      </c>
      <c r="AK20" s="38" t="s">
        <v>43</v>
      </c>
      <c r="AL20" s="38" t="str">
        <f t="shared" si="12"/>
        <v>WO</v>
      </c>
      <c r="AM20" s="38" t="s">
        <v>43</v>
      </c>
      <c r="AN20" s="38" t="s">
        <v>43</v>
      </c>
      <c r="AO20" s="39" t="s">
        <v>43</v>
      </c>
      <c r="AP20" s="31"/>
      <c r="AQ20" s="36"/>
      <c r="AR20" s="19">
        <v>12</v>
      </c>
      <c r="AS20" s="19">
        <v>1012</v>
      </c>
      <c r="AT20" s="19" t="str">
        <f t="shared" si="3"/>
        <v>December</v>
      </c>
      <c r="AU20" s="19" t="s">
        <v>14</v>
      </c>
      <c r="AV20" s="27">
        <f t="shared" si="4"/>
        <v>24</v>
      </c>
      <c r="AW20" s="22">
        <f t="shared" si="5"/>
        <v>1</v>
      </c>
      <c r="AX20" s="22">
        <f t="shared" si="6"/>
        <v>2</v>
      </c>
      <c r="AY20" s="22">
        <f t="shared" si="7"/>
        <v>4</v>
      </c>
      <c r="AZ20" s="22">
        <f t="shared" si="8"/>
        <v>31</v>
      </c>
      <c r="BA20" s="22">
        <f>Dec_Month[[#This Row],[Days]]-Dec_Month[[#This Row],[Absent]]</f>
        <v>30</v>
      </c>
      <c r="BB20" s="23">
        <v>52000</v>
      </c>
      <c r="BC20" s="23">
        <f>Dec_Month[[#This Row],[Salary]]/Dec_Month[[#This Row],[Days]]</f>
        <v>1677.4193548387098</v>
      </c>
      <c r="BD20" s="24">
        <f>Dec_Month[[#This Row],[PerDay Salary]]*Dec_Month[[#This Row],[Absent]]</f>
        <v>1677.4193548387098</v>
      </c>
      <c r="BE20" s="23">
        <f>Dec_Month[[#This Row],[Salary]]-Dec_Month[[#This Row],[Deduction]]</f>
        <v>50322.580645161288</v>
      </c>
      <c r="BF20" s="22"/>
      <c r="BG20" s="36"/>
    </row>
    <row r="21" spans="1:59" ht="15.75" x14ac:dyDescent="0.25">
      <c r="A21"/>
      <c r="B21"/>
      <c r="C21"/>
      <c r="D21" s="29"/>
      <c r="F21" s="31"/>
      <c r="G21" s="3">
        <v>13</v>
      </c>
      <c r="H21" s="4">
        <v>1013</v>
      </c>
      <c r="I21" s="5" t="s">
        <v>15</v>
      </c>
      <c r="J21" s="37">
        <f t="shared" si="9"/>
        <v>4</v>
      </c>
      <c r="K21" s="38" t="s">
        <v>43</v>
      </c>
      <c r="L21" s="38" t="s">
        <v>43</v>
      </c>
      <c r="M21" s="38" t="s">
        <v>43</v>
      </c>
      <c r="N21" s="38" t="s">
        <v>43</v>
      </c>
      <c r="O21" s="38" t="s">
        <v>43</v>
      </c>
      <c r="P21" s="38" t="s">
        <v>43</v>
      </c>
      <c r="Q21" s="38" t="str">
        <f t="shared" si="11"/>
        <v>WO</v>
      </c>
      <c r="R21" s="38" t="s">
        <v>43</v>
      </c>
      <c r="S21" s="38" t="s">
        <v>44</v>
      </c>
      <c r="T21" s="38" t="s">
        <v>43</v>
      </c>
      <c r="U21" s="38" t="s">
        <v>43</v>
      </c>
      <c r="V21" s="38" t="s">
        <v>43</v>
      </c>
      <c r="W21" s="38" t="s">
        <v>42</v>
      </c>
      <c r="X21" s="38" t="str">
        <f t="shared" si="11"/>
        <v>WO</v>
      </c>
      <c r="Y21" s="38" t="s">
        <v>43</v>
      </c>
      <c r="Z21" s="38" t="s">
        <v>43</v>
      </c>
      <c r="AA21" s="38" t="s">
        <v>44</v>
      </c>
      <c r="AB21" s="38" t="s">
        <v>43</v>
      </c>
      <c r="AC21" s="38" t="s">
        <v>43</v>
      </c>
      <c r="AD21" s="38" t="s">
        <v>43</v>
      </c>
      <c r="AE21" s="38" t="str">
        <f t="shared" si="12"/>
        <v>WO</v>
      </c>
      <c r="AF21" s="38" t="s">
        <v>43</v>
      </c>
      <c r="AG21" s="38" t="s">
        <v>43</v>
      </c>
      <c r="AH21" s="38" t="s">
        <v>43</v>
      </c>
      <c r="AI21" s="38" t="s">
        <v>42</v>
      </c>
      <c r="AJ21" s="38" t="s">
        <v>43</v>
      </c>
      <c r="AK21" s="38" t="s">
        <v>43</v>
      </c>
      <c r="AL21" s="38" t="str">
        <f t="shared" si="12"/>
        <v>WO</v>
      </c>
      <c r="AM21" s="38" t="s">
        <v>43</v>
      </c>
      <c r="AN21" s="38" t="s">
        <v>43</v>
      </c>
      <c r="AO21" s="39" t="s">
        <v>43</v>
      </c>
      <c r="AP21" s="31"/>
      <c r="AQ21" s="36"/>
      <c r="AR21" s="19">
        <v>13</v>
      </c>
      <c r="AS21" s="19">
        <v>1013</v>
      </c>
      <c r="AT21" s="19" t="str">
        <f t="shared" si="3"/>
        <v>December</v>
      </c>
      <c r="AU21" s="19" t="s">
        <v>15</v>
      </c>
      <c r="AV21" s="27">
        <f t="shared" si="4"/>
        <v>23</v>
      </c>
      <c r="AW21" s="22">
        <f t="shared" si="5"/>
        <v>2</v>
      </c>
      <c r="AX21" s="22">
        <f t="shared" si="6"/>
        <v>2</v>
      </c>
      <c r="AY21" s="22">
        <f t="shared" si="7"/>
        <v>4</v>
      </c>
      <c r="AZ21" s="22">
        <f t="shared" si="8"/>
        <v>31</v>
      </c>
      <c r="BA21" s="22">
        <f>Dec_Month[[#This Row],[Days]]-Dec_Month[[#This Row],[Absent]]</f>
        <v>29</v>
      </c>
      <c r="BB21" s="23">
        <v>42000</v>
      </c>
      <c r="BC21" s="23">
        <f>Dec_Month[[#This Row],[Salary]]/Dec_Month[[#This Row],[Days]]</f>
        <v>1354.8387096774193</v>
      </c>
      <c r="BD21" s="24">
        <f>Dec_Month[[#This Row],[PerDay Salary]]*Dec_Month[[#This Row],[Absent]]</f>
        <v>2709.6774193548385</v>
      </c>
      <c r="BE21" s="23">
        <f>Dec_Month[[#This Row],[Salary]]-Dec_Month[[#This Row],[Deduction]]</f>
        <v>39290.322580645159</v>
      </c>
      <c r="BF21" s="22"/>
      <c r="BG21" s="36"/>
    </row>
    <row r="22" spans="1:59" ht="15.75" x14ac:dyDescent="0.25">
      <c r="A22"/>
      <c r="B22"/>
      <c r="C22"/>
      <c r="D22" s="29"/>
      <c r="F22" s="31"/>
      <c r="G22" s="3">
        <v>14</v>
      </c>
      <c r="H22" s="4">
        <v>1014</v>
      </c>
      <c r="I22" s="5" t="s">
        <v>16</v>
      </c>
      <c r="J22" s="37">
        <f t="shared" si="9"/>
        <v>4</v>
      </c>
      <c r="K22" s="38" t="s">
        <v>43</v>
      </c>
      <c r="L22" s="38" t="s">
        <v>43</v>
      </c>
      <c r="M22" s="38" t="s">
        <v>43</v>
      </c>
      <c r="N22" s="38" t="s">
        <v>43</v>
      </c>
      <c r="O22" s="38" t="s">
        <v>43</v>
      </c>
      <c r="P22" s="38" t="s">
        <v>43</v>
      </c>
      <c r="Q22" s="38" t="str">
        <f t="shared" si="11"/>
        <v>WO</v>
      </c>
      <c r="R22" s="38" t="s">
        <v>44</v>
      </c>
      <c r="S22" s="38" t="s">
        <v>43</v>
      </c>
      <c r="T22" s="38" t="s">
        <v>43</v>
      </c>
      <c r="U22" s="38" t="s">
        <v>43</v>
      </c>
      <c r="V22" s="38" t="s">
        <v>43</v>
      </c>
      <c r="W22" s="38" t="s">
        <v>42</v>
      </c>
      <c r="X22" s="38" t="str">
        <f t="shared" si="11"/>
        <v>WO</v>
      </c>
      <c r="Y22" s="38" t="s">
        <v>43</v>
      </c>
      <c r="Z22" s="38" t="s">
        <v>43</v>
      </c>
      <c r="AA22" s="38" t="s">
        <v>43</v>
      </c>
      <c r="AB22" s="38" t="s">
        <v>43</v>
      </c>
      <c r="AC22" s="38" t="s">
        <v>43</v>
      </c>
      <c r="AD22" s="38" t="s">
        <v>43</v>
      </c>
      <c r="AE22" s="38" t="str">
        <f t="shared" si="12"/>
        <v>WO</v>
      </c>
      <c r="AF22" s="38" t="s">
        <v>43</v>
      </c>
      <c r="AG22" s="38" t="s">
        <v>43</v>
      </c>
      <c r="AH22" s="38" t="s">
        <v>43</v>
      </c>
      <c r="AI22" s="38" t="s">
        <v>42</v>
      </c>
      <c r="AJ22" s="38" t="s">
        <v>43</v>
      </c>
      <c r="AK22" s="38" t="s">
        <v>43</v>
      </c>
      <c r="AL22" s="38" t="str">
        <f t="shared" si="12"/>
        <v>WO</v>
      </c>
      <c r="AM22" s="38" t="s">
        <v>43</v>
      </c>
      <c r="AN22" s="38" t="s">
        <v>43</v>
      </c>
      <c r="AO22" s="39" t="s">
        <v>43</v>
      </c>
      <c r="AP22" s="31"/>
      <c r="AQ22" s="36"/>
      <c r="AR22" s="19">
        <v>14</v>
      </c>
      <c r="AS22" s="19">
        <v>1014</v>
      </c>
      <c r="AT22" s="19" t="str">
        <f t="shared" si="3"/>
        <v>December</v>
      </c>
      <c r="AU22" s="19" t="s">
        <v>16</v>
      </c>
      <c r="AV22" s="27">
        <f t="shared" si="4"/>
        <v>24</v>
      </c>
      <c r="AW22" s="22">
        <f t="shared" si="5"/>
        <v>1</v>
      </c>
      <c r="AX22" s="22">
        <f t="shared" si="6"/>
        <v>2</v>
      </c>
      <c r="AY22" s="22">
        <f t="shared" si="7"/>
        <v>4</v>
      </c>
      <c r="AZ22" s="22">
        <f t="shared" si="8"/>
        <v>31</v>
      </c>
      <c r="BA22" s="22">
        <f>Dec_Month[[#This Row],[Days]]-Dec_Month[[#This Row],[Absent]]</f>
        <v>30</v>
      </c>
      <c r="BB22" s="23">
        <v>15000</v>
      </c>
      <c r="BC22" s="23">
        <f>Dec_Month[[#This Row],[Salary]]/Dec_Month[[#This Row],[Days]]</f>
        <v>483.87096774193549</v>
      </c>
      <c r="BD22" s="24">
        <f>Dec_Month[[#This Row],[PerDay Salary]]*Dec_Month[[#This Row],[Absent]]</f>
        <v>483.87096774193549</v>
      </c>
      <c r="BE22" s="23">
        <f>Dec_Month[[#This Row],[Salary]]-Dec_Month[[#This Row],[Deduction]]</f>
        <v>14516.129032258064</v>
      </c>
      <c r="BF22" s="22"/>
      <c r="BG22" s="36"/>
    </row>
    <row r="23" spans="1:59" ht="15.75" x14ac:dyDescent="0.25">
      <c r="A23"/>
      <c r="B23"/>
      <c r="C23"/>
      <c r="D23" s="29"/>
      <c r="F23" s="31"/>
      <c r="G23" s="3">
        <v>15</v>
      </c>
      <c r="H23" s="4">
        <v>1015</v>
      </c>
      <c r="I23" s="5" t="s">
        <v>17</v>
      </c>
      <c r="J23" s="37">
        <f t="shared" si="9"/>
        <v>4</v>
      </c>
      <c r="K23" s="38" t="s">
        <v>43</v>
      </c>
      <c r="L23" s="38" t="s">
        <v>43</v>
      </c>
      <c r="M23" s="38" t="s">
        <v>43</v>
      </c>
      <c r="N23" s="38" t="s">
        <v>43</v>
      </c>
      <c r="O23" s="38" t="s">
        <v>43</v>
      </c>
      <c r="P23" s="38" t="s">
        <v>44</v>
      </c>
      <c r="Q23" s="38" t="str">
        <f t="shared" si="11"/>
        <v>WO</v>
      </c>
      <c r="R23" s="38" t="s">
        <v>43</v>
      </c>
      <c r="S23" s="38" t="s">
        <v>43</v>
      </c>
      <c r="T23" s="38" t="s">
        <v>43</v>
      </c>
      <c r="U23" s="38" t="s">
        <v>43</v>
      </c>
      <c r="V23" s="38" t="s">
        <v>43</v>
      </c>
      <c r="W23" s="38" t="s">
        <v>42</v>
      </c>
      <c r="X23" s="38" t="str">
        <f t="shared" si="11"/>
        <v>WO</v>
      </c>
      <c r="Y23" s="38" t="s">
        <v>43</v>
      </c>
      <c r="Z23" s="38" t="s">
        <v>43</v>
      </c>
      <c r="AA23" s="38" t="s">
        <v>43</v>
      </c>
      <c r="AB23" s="38" t="s">
        <v>43</v>
      </c>
      <c r="AC23" s="38" t="s">
        <v>43</v>
      </c>
      <c r="AD23" s="38" t="s">
        <v>43</v>
      </c>
      <c r="AE23" s="38" t="str">
        <f t="shared" si="12"/>
        <v>WO</v>
      </c>
      <c r="AF23" s="38" t="s">
        <v>43</v>
      </c>
      <c r="AG23" s="38" t="s">
        <v>43</v>
      </c>
      <c r="AH23" s="38" t="s">
        <v>43</v>
      </c>
      <c r="AI23" s="38" t="s">
        <v>42</v>
      </c>
      <c r="AJ23" s="38" t="s">
        <v>43</v>
      </c>
      <c r="AK23" s="38" t="s">
        <v>43</v>
      </c>
      <c r="AL23" s="38" t="str">
        <f t="shared" si="12"/>
        <v>WO</v>
      </c>
      <c r="AM23" s="38" t="s">
        <v>44</v>
      </c>
      <c r="AN23" s="38" t="s">
        <v>43</v>
      </c>
      <c r="AO23" s="39" t="s">
        <v>43</v>
      </c>
      <c r="AP23" s="31"/>
      <c r="AQ23" s="36"/>
      <c r="AR23" s="19">
        <v>15</v>
      </c>
      <c r="AS23" s="19">
        <v>1015</v>
      </c>
      <c r="AT23" s="19" t="str">
        <f t="shared" si="3"/>
        <v>December</v>
      </c>
      <c r="AU23" s="19" t="s">
        <v>17</v>
      </c>
      <c r="AV23" s="27">
        <f t="shared" si="4"/>
        <v>23</v>
      </c>
      <c r="AW23" s="22">
        <f t="shared" si="5"/>
        <v>2</v>
      </c>
      <c r="AX23" s="22">
        <f t="shared" si="6"/>
        <v>2</v>
      </c>
      <c r="AY23" s="22">
        <f t="shared" si="7"/>
        <v>4</v>
      </c>
      <c r="AZ23" s="22">
        <f t="shared" si="8"/>
        <v>31</v>
      </c>
      <c r="BA23" s="22">
        <f>Dec_Month[[#This Row],[Days]]-Dec_Month[[#This Row],[Absent]]</f>
        <v>29</v>
      </c>
      <c r="BB23" s="23">
        <v>46000</v>
      </c>
      <c r="BC23" s="23">
        <f>Dec_Month[[#This Row],[Salary]]/Dec_Month[[#This Row],[Days]]</f>
        <v>1483.8709677419354</v>
      </c>
      <c r="BD23" s="24">
        <f>Dec_Month[[#This Row],[PerDay Salary]]*Dec_Month[[#This Row],[Absent]]</f>
        <v>2967.7419354838707</v>
      </c>
      <c r="BE23" s="23">
        <f>Dec_Month[[#This Row],[Salary]]-Dec_Month[[#This Row],[Deduction]]</f>
        <v>43032.258064516129</v>
      </c>
      <c r="BF23" s="22"/>
      <c r="BG23" s="36"/>
    </row>
    <row r="24" spans="1:59" ht="15.75" x14ac:dyDescent="0.25">
      <c r="A24"/>
      <c r="B24"/>
      <c r="C24"/>
      <c r="D24" s="29"/>
      <c r="F24" s="31"/>
      <c r="G24" s="3">
        <v>16</v>
      </c>
      <c r="H24" s="4">
        <v>1016</v>
      </c>
      <c r="I24" s="5" t="s">
        <v>18</v>
      </c>
      <c r="J24" s="37">
        <f t="shared" si="9"/>
        <v>4</v>
      </c>
      <c r="K24" s="38" t="s">
        <v>43</v>
      </c>
      <c r="L24" s="38" t="s">
        <v>43</v>
      </c>
      <c r="M24" s="38" t="s">
        <v>43</v>
      </c>
      <c r="N24" s="38" t="s">
        <v>43</v>
      </c>
      <c r="O24" s="38" t="s">
        <v>44</v>
      </c>
      <c r="P24" s="38" t="s">
        <v>43</v>
      </c>
      <c r="Q24" s="38" t="str">
        <f t="shared" si="11"/>
        <v>WO</v>
      </c>
      <c r="R24" s="38" t="s">
        <v>43</v>
      </c>
      <c r="S24" s="38" t="s">
        <v>43</v>
      </c>
      <c r="T24" s="38" t="s">
        <v>43</v>
      </c>
      <c r="U24" s="38" t="s">
        <v>43</v>
      </c>
      <c r="V24" s="38" t="s">
        <v>43</v>
      </c>
      <c r="W24" s="38" t="s">
        <v>42</v>
      </c>
      <c r="X24" s="38" t="str">
        <f t="shared" si="11"/>
        <v>WO</v>
      </c>
      <c r="Y24" s="38" t="s">
        <v>43</v>
      </c>
      <c r="Z24" s="38" t="s">
        <v>43</v>
      </c>
      <c r="AA24" s="38" t="s">
        <v>43</v>
      </c>
      <c r="AB24" s="38" t="s">
        <v>43</v>
      </c>
      <c r="AC24" s="38" t="s">
        <v>43</v>
      </c>
      <c r="AD24" s="38" t="s">
        <v>43</v>
      </c>
      <c r="AE24" s="38" t="str">
        <f t="shared" si="12"/>
        <v>WO</v>
      </c>
      <c r="AF24" s="38" t="s">
        <v>43</v>
      </c>
      <c r="AG24" s="38" t="s">
        <v>43</v>
      </c>
      <c r="AH24" s="38" t="s">
        <v>43</v>
      </c>
      <c r="AI24" s="38" t="s">
        <v>42</v>
      </c>
      <c r="AJ24" s="38" t="s">
        <v>43</v>
      </c>
      <c r="AK24" s="38" t="s">
        <v>43</v>
      </c>
      <c r="AL24" s="38" t="str">
        <f t="shared" si="12"/>
        <v>WO</v>
      </c>
      <c r="AM24" s="38" t="s">
        <v>43</v>
      </c>
      <c r="AN24" s="38" t="s">
        <v>43</v>
      </c>
      <c r="AO24" s="39" t="s">
        <v>43</v>
      </c>
      <c r="AP24" s="31"/>
      <c r="AQ24" s="36"/>
      <c r="AR24" s="19">
        <v>16</v>
      </c>
      <c r="AS24" s="19">
        <v>1016</v>
      </c>
      <c r="AT24" s="19" t="str">
        <f t="shared" si="3"/>
        <v>December</v>
      </c>
      <c r="AU24" s="19" t="s">
        <v>18</v>
      </c>
      <c r="AV24" s="27">
        <f t="shared" si="4"/>
        <v>24</v>
      </c>
      <c r="AW24" s="22">
        <f t="shared" si="5"/>
        <v>1</v>
      </c>
      <c r="AX24" s="22">
        <f t="shared" si="6"/>
        <v>2</v>
      </c>
      <c r="AY24" s="22">
        <f t="shared" si="7"/>
        <v>4</v>
      </c>
      <c r="AZ24" s="22">
        <f t="shared" si="8"/>
        <v>31</v>
      </c>
      <c r="BA24" s="22">
        <f>Dec_Month[[#This Row],[Days]]-Dec_Month[[#This Row],[Absent]]</f>
        <v>30</v>
      </c>
      <c r="BB24" s="23">
        <v>52000</v>
      </c>
      <c r="BC24" s="23">
        <f>Dec_Month[[#This Row],[Salary]]/Dec_Month[[#This Row],[Days]]</f>
        <v>1677.4193548387098</v>
      </c>
      <c r="BD24" s="24">
        <f>Dec_Month[[#This Row],[PerDay Salary]]*Dec_Month[[#This Row],[Absent]]</f>
        <v>1677.4193548387098</v>
      </c>
      <c r="BE24" s="23">
        <f>Dec_Month[[#This Row],[Salary]]-Dec_Month[[#This Row],[Deduction]]</f>
        <v>50322.580645161288</v>
      </c>
      <c r="BF24" s="22"/>
      <c r="BG24" s="36"/>
    </row>
    <row r="25" spans="1:59" ht="15.75" x14ac:dyDescent="0.25">
      <c r="A25"/>
      <c r="B25"/>
      <c r="C25"/>
      <c r="D25" s="29"/>
      <c r="F25" s="31"/>
      <c r="G25" s="3">
        <v>17</v>
      </c>
      <c r="H25" s="4">
        <v>1017</v>
      </c>
      <c r="I25" s="5" t="s">
        <v>19</v>
      </c>
      <c r="J25" s="37">
        <f t="shared" si="9"/>
        <v>4</v>
      </c>
      <c r="K25" s="38" t="s">
        <v>43</v>
      </c>
      <c r="L25" s="38" t="s">
        <v>43</v>
      </c>
      <c r="M25" s="38" t="s">
        <v>43</v>
      </c>
      <c r="N25" s="38" t="s">
        <v>44</v>
      </c>
      <c r="O25" s="38" t="s">
        <v>43</v>
      </c>
      <c r="P25" s="38" t="s">
        <v>43</v>
      </c>
      <c r="Q25" s="38" t="str">
        <f t="shared" si="11"/>
        <v>WO</v>
      </c>
      <c r="R25" s="38" t="s">
        <v>43</v>
      </c>
      <c r="S25" s="38" t="s">
        <v>43</v>
      </c>
      <c r="T25" s="38" t="s">
        <v>43</v>
      </c>
      <c r="U25" s="38" t="s">
        <v>44</v>
      </c>
      <c r="V25" s="38" t="s">
        <v>43</v>
      </c>
      <c r="W25" s="38" t="s">
        <v>42</v>
      </c>
      <c r="X25" s="38" t="str">
        <f t="shared" si="11"/>
        <v>WO</v>
      </c>
      <c r="Y25" s="38" t="s">
        <v>43</v>
      </c>
      <c r="Z25" s="38" t="s">
        <v>43</v>
      </c>
      <c r="AA25" s="38" t="s">
        <v>43</v>
      </c>
      <c r="AB25" s="38" t="s">
        <v>43</v>
      </c>
      <c r="AC25" s="38" t="s">
        <v>43</v>
      </c>
      <c r="AD25" s="38" t="s">
        <v>43</v>
      </c>
      <c r="AE25" s="38" t="str">
        <f t="shared" si="12"/>
        <v>WO</v>
      </c>
      <c r="AF25" s="38" t="s">
        <v>43</v>
      </c>
      <c r="AG25" s="38" t="s">
        <v>43</v>
      </c>
      <c r="AH25" s="38" t="s">
        <v>43</v>
      </c>
      <c r="AI25" s="38" t="s">
        <v>42</v>
      </c>
      <c r="AJ25" s="38" t="s">
        <v>43</v>
      </c>
      <c r="AK25" s="38" t="s">
        <v>43</v>
      </c>
      <c r="AL25" s="38" t="str">
        <f t="shared" si="12"/>
        <v>WO</v>
      </c>
      <c r="AM25" s="38" t="s">
        <v>43</v>
      </c>
      <c r="AN25" s="38" t="s">
        <v>43</v>
      </c>
      <c r="AO25" s="39" t="s">
        <v>43</v>
      </c>
      <c r="AP25" s="31"/>
      <c r="AQ25" s="36"/>
      <c r="AR25" s="19">
        <v>17</v>
      </c>
      <c r="AS25" s="19">
        <v>1017</v>
      </c>
      <c r="AT25" s="19" t="str">
        <f t="shared" si="3"/>
        <v>December</v>
      </c>
      <c r="AU25" s="19" t="s">
        <v>19</v>
      </c>
      <c r="AV25" s="27">
        <f t="shared" si="4"/>
        <v>23</v>
      </c>
      <c r="AW25" s="22">
        <f t="shared" si="5"/>
        <v>2</v>
      </c>
      <c r="AX25" s="22">
        <f t="shared" si="6"/>
        <v>2</v>
      </c>
      <c r="AY25" s="22">
        <f t="shared" si="7"/>
        <v>4</v>
      </c>
      <c r="AZ25" s="22">
        <f t="shared" si="8"/>
        <v>31</v>
      </c>
      <c r="BA25" s="22">
        <f>Dec_Month[[#This Row],[Days]]-Dec_Month[[#This Row],[Absent]]</f>
        <v>29</v>
      </c>
      <c r="BB25" s="23">
        <v>42000</v>
      </c>
      <c r="BC25" s="23">
        <f>Dec_Month[[#This Row],[Salary]]/Dec_Month[[#This Row],[Days]]</f>
        <v>1354.8387096774193</v>
      </c>
      <c r="BD25" s="24">
        <f>Dec_Month[[#This Row],[PerDay Salary]]*Dec_Month[[#This Row],[Absent]]</f>
        <v>2709.6774193548385</v>
      </c>
      <c r="BE25" s="23">
        <f>Dec_Month[[#This Row],[Salary]]-Dec_Month[[#This Row],[Deduction]]</f>
        <v>39290.322580645159</v>
      </c>
      <c r="BF25" s="22"/>
      <c r="BG25" s="36"/>
    </row>
    <row r="26" spans="1:59" ht="15.75" x14ac:dyDescent="0.25">
      <c r="A26"/>
      <c r="B26"/>
      <c r="C26"/>
      <c r="D26" s="29"/>
      <c r="F26" s="31"/>
      <c r="G26" s="3">
        <v>18</v>
      </c>
      <c r="H26" s="4">
        <v>1018</v>
      </c>
      <c r="I26" s="5" t="s">
        <v>20</v>
      </c>
      <c r="J26" s="37">
        <f t="shared" si="9"/>
        <v>4</v>
      </c>
      <c r="K26" s="38" t="s">
        <v>43</v>
      </c>
      <c r="L26" s="38" t="s">
        <v>43</v>
      </c>
      <c r="M26" s="38" t="s">
        <v>44</v>
      </c>
      <c r="N26" s="38" t="s">
        <v>43</v>
      </c>
      <c r="O26" s="38" t="s">
        <v>43</v>
      </c>
      <c r="P26" s="38" t="s">
        <v>43</v>
      </c>
      <c r="Q26" s="38" t="str">
        <f t="shared" si="11"/>
        <v>WO</v>
      </c>
      <c r="R26" s="38" t="s">
        <v>43</v>
      </c>
      <c r="S26" s="38" t="s">
        <v>43</v>
      </c>
      <c r="T26" s="38" t="s">
        <v>43</v>
      </c>
      <c r="U26" s="38" t="s">
        <v>43</v>
      </c>
      <c r="V26" s="38" t="s">
        <v>43</v>
      </c>
      <c r="W26" s="38" t="s">
        <v>42</v>
      </c>
      <c r="X26" s="38" t="str">
        <f t="shared" si="11"/>
        <v>WO</v>
      </c>
      <c r="Y26" s="38" t="s">
        <v>43</v>
      </c>
      <c r="Z26" s="38" t="s">
        <v>43</v>
      </c>
      <c r="AA26" s="38" t="s">
        <v>43</v>
      </c>
      <c r="AB26" s="38" t="s">
        <v>43</v>
      </c>
      <c r="AC26" s="38" t="s">
        <v>43</v>
      </c>
      <c r="AD26" s="38" t="s">
        <v>43</v>
      </c>
      <c r="AE26" s="38" t="str">
        <f t="shared" si="12"/>
        <v>WO</v>
      </c>
      <c r="AF26" s="38" t="s">
        <v>43</v>
      </c>
      <c r="AG26" s="38" t="s">
        <v>43</v>
      </c>
      <c r="AH26" s="38" t="s">
        <v>43</v>
      </c>
      <c r="AI26" s="38" t="s">
        <v>42</v>
      </c>
      <c r="AJ26" s="38" t="s">
        <v>43</v>
      </c>
      <c r="AK26" s="38" t="s">
        <v>43</v>
      </c>
      <c r="AL26" s="38" t="str">
        <f t="shared" si="12"/>
        <v>WO</v>
      </c>
      <c r="AM26" s="38" t="s">
        <v>43</v>
      </c>
      <c r="AN26" s="38" t="s">
        <v>43</v>
      </c>
      <c r="AO26" s="39" t="s">
        <v>44</v>
      </c>
      <c r="AP26" s="31"/>
      <c r="AQ26" s="36"/>
      <c r="AR26" s="19">
        <v>18</v>
      </c>
      <c r="AS26" s="19">
        <v>1018</v>
      </c>
      <c r="AT26" s="19" t="str">
        <f t="shared" si="3"/>
        <v>December</v>
      </c>
      <c r="AU26" s="19" t="s">
        <v>20</v>
      </c>
      <c r="AV26" s="27">
        <f t="shared" si="4"/>
        <v>23</v>
      </c>
      <c r="AW26" s="22">
        <f t="shared" si="5"/>
        <v>2</v>
      </c>
      <c r="AX26" s="22">
        <f t="shared" si="6"/>
        <v>2</v>
      </c>
      <c r="AY26" s="22">
        <f t="shared" si="7"/>
        <v>4</v>
      </c>
      <c r="AZ26" s="22">
        <f t="shared" si="8"/>
        <v>31</v>
      </c>
      <c r="BA26" s="22">
        <f>Dec_Month[[#This Row],[Days]]-Dec_Month[[#This Row],[Absent]]</f>
        <v>29</v>
      </c>
      <c r="BB26" s="23">
        <v>62000</v>
      </c>
      <c r="BC26" s="23">
        <f>Dec_Month[[#This Row],[Salary]]/Dec_Month[[#This Row],[Days]]</f>
        <v>2000</v>
      </c>
      <c r="BD26" s="24">
        <f>Dec_Month[[#This Row],[PerDay Salary]]*Dec_Month[[#This Row],[Absent]]</f>
        <v>4000</v>
      </c>
      <c r="BE26" s="23">
        <f>Dec_Month[[#This Row],[Salary]]-Dec_Month[[#This Row],[Deduction]]</f>
        <v>58000</v>
      </c>
      <c r="BF26" s="22"/>
      <c r="BG26" s="36"/>
    </row>
    <row r="27" spans="1:59" ht="15.75" x14ac:dyDescent="0.25">
      <c r="A27"/>
      <c r="B27"/>
      <c r="C27"/>
      <c r="D27" s="29"/>
      <c r="F27" s="31"/>
      <c r="G27" s="3">
        <v>19</v>
      </c>
      <c r="H27" s="4">
        <v>1019</v>
      </c>
      <c r="I27" s="5" t="s">
        <v>21</v>
      </c>
      <c r="J27" s="37">
        <f t="shared" si="9"/>
        <v>4</v>
      </c>
      <c r="K27" s="38" t="s">
        <v>43</v>
      </c>
      <c r="L27" s="38" t="s">
        <v>44</v>
      </c>
      <c r="M27" s="38" t="s">
        <v>43</v>
      </c>
      <c r="N27" s="38" t="s">
        <v>43</v>
      </c>
      <c r="O27" s="38" t="s">
        <v>43</v>
      </c>
      <c r="P27" s="38" t="s">
        <v>43</v>
      </c>
      <c r="Q27" s="38" t="str">
        <f t="shared" si="11"/>
        <v>WO</v>
      </c>
      <c r="R27" s="38" t="s">
        <v>43</v>
      </c>
      <c r="S27" s="38" t="s">
        <v>43</v>
      </c>
      <c r="T27" s="38" t="s">
        <v>43</v>
      </c>
      <c r="U27" s="38" t="s">
        <v>43</v>
      </c>
      <c r="V27" s="38" t="s">
        <v>43</v>
      </c>
      <c r="W27" s="38" t="s">
        <v>42</v>
      </c>
      <c r="X27" s="38" t="str">
        <f t="shared" si="11"/>
        <v>WO</v>
      </c>
      <c r="Y27" s="38" t="s">
        <v>43</v>
      </c>
      <c r="Z27" s="38" t="s">
        <v>44</v>
      </c>
      <c r="AA27" s="38" t="s">
        <v>43</v>
      </c>
      <c r="AB27" s="38" t="s">
        <v>43</v>
      </c>
      <c r="AC27" s="38" t="s">
        <v>43</v>
      </c>
      <c r="AD27" s="38" t="s">
        <v>43</v>
      </c>
      <c r="AE27" s="38" t="str">
        <f t="shared" si="12"/>
        <v>WO</v>
      </c>
      <c r="AF27" s="38" t="s">
        <v>43</v>
      </c>
      <c r="AG27" s="38" t="s">
        <v>43</v>
      </c>
      <c r="AH27" s="38" t="s">
        <v>43</v>
      </c>
      <c r="AI27" s="38" t="s">
        <v>42</v>
      </c>
      <c r="AJ27" s="38" t="s">
        <v>43</v>
      </c>
      <c r="AK27" s="38" t="s">
        <v>43</v>
      </c>
      <c r="AL27" s="38" t="str">
        <f t="shared" si="12"/>
        <v>WO</v>
      </c>
      <c r="AM27" s="38" t="s">
        <v>43</v>
      </c>
      <c r="AN27" s="38" t="s">
        <v>43</v>
      </c>
      <c r="AO27" s="39" t="s">
        <v>43</v>
      </c>
      <c r="AP27" s="31"/>
      <c r="AQ27" s="36"/>
      <c r="AR27" s="19">
        <v>19</v>
      </c>
      <c r="AS27" s="19">
        <v>1019</v>
      </c>
      <c r="AT27" s="19" t="str">
        <f t="shared" si="3"/>
        <v>December</v>
      </c>
      <c r="AU27" s="19" t="s">
        <v>21</v>
      </c>
      <c r="AV27" s="27">
        <f t="shared" si="4"/>
        <v>23</v>
      </c>
      <c r="AW27" s="22">
        <f t="shared" si="5"/>
        <v>2</v>
      </c>
      <c r="AX27" s="22">
        <f t="shared" si="6"/>
        <v>2</v>
      </c>
      <c r="AY27" s="22">
        <f t="shared" si="7"/>
        <v>4</v>
      </c>
      <c r="AZ27" s="22">
        <f t="shared" si="8"/>
        <v>31</v>
      </c>
      <c r="BA27" s="22">
        <f>Dec_Month[[#This Row],[Days]]-Dec_Month[[#This Row],[Absent]]</f>
        <v>29</v>
      </c>
      <c r="BB27" s="23">
        <v>41000</v>
      </c>
      <c r="BC27" s="23">
        <f>Dec_Month[[#This Row],[Salary]]/Dec_Month[[#This Row],[Days]]</f>
        <v>1322.5806451612902</v>
      </c>
      <c r="BD27" s="24">
        <f>Dec_Month[[#This Row],[PerDay Salary]]*Dec_Month[[#This Row],[Absent]]</f>
        <v>2645.1612903225805</v>
      </c>
      <c r="BE27" s="23">
        <f>Dec_Month[[#This Row],[Salary]]-Dec_Month[[#This Row],[Deduction]]</f>
        <v>38354.838709677417</v>
      </c>
      <c r="BF27" s="22"/>
      <c r="BG27" s="36"/>
    </row>
    <row r="28" spans="1:59" ht="16.5" thickBot="1" x14ac:dyDescent="0.3">
      <c r="A28"/>
      <c r="B28"/>
      <c r="C28"/>
      <c r="D28" s="29"/>
      <c r="F28" s="31"/>
      <c r="G28" s="6">
        <v>20</v>
      </c>
      <c r="H28" s="7">
        <v>1020</v>
      </c>
      <c r="I28" s="8" t="s">
        <v>22</v>
      </c>
      <c r="J28" s="40">
        <f t="shared" si="9"/>
        <v>4</v>
      </c>
      <c r="K28" s="41" t="s">
        <v>44</v>
      </c>
      <c r="L28" s="41" t="s">
        <v>43</v>
      </c>
      <c r="M28" s="41" t="s">
        <v>43</v>
      </c>
      <c r="N28" s="41" t="s">
        <v>43</v>
      </c>
      <c r="O28" s="41" t="s">
        <v>43</v>
      </c>
      <c r="P28" s="41" t="s">
        <v>43</v>
      </c>
      <c r="Q28" s="41" t="str">
        <f t="shared" si="11"/>
        <v>WO</v>
      </c>
      <c r="R28" s="41" t="s">
        <v>43</v>
      </c>
      <c r="S28" s="41" t="s">
        <v>43</v>
      </c>
      <c r="T28" s="41" t="s">
        <v>43</v>
      </c>
      <c r="U28" s="41" t="s">
        <v>43</v>
      </c>
      <c r="V28" s="41" t="s">
        <v>43</v>
      </c>
      <c r="W28" s="41" t="s">
        <v>42</v>
      </c>
      <c r="X28" s="41" t="str">
        <f t="shared" si="11"/>
        <v>WO</v>
      </c>
      <c r="Y28" s="41" t="s">
        <v>43</v>
      </c>
      <c r="Z28" s="41" t="s">
        <v>43</v>
      </c>
      <c r="AA28" s="41" t="s">
        <v>43</v>
      </c>
      <c r="AB28" s="41" t="s">
        <v>43</v>
      </c>
      <c r="AC28" s="41" t="s">
        <v>43</v>
      </c>
      <c r="AD28" s="41" t="s">
        <v>43</v>
      </c>
      <c r="AE28" s="41" t="str">
        <f t="shared" si="12"/>
        <v>WO</v>
      </c>
      <c r="AF28" s="41" t="s">
        <v>43</v>
      </c>
      <c r="AG28" s="41" t="s">
        <v>43</v>
      </c>
      <c r="AH28" s="41" t="s">
        <v>43</v>
      </c>
      <c r="AI28" s="41" t="s">
        <v>42</v>
      </c>
      <c r="AJ28" s="41" t="s">
        <v>43</v>
      </c>
      <c r="AK28" s="41" t="s">
        <v>43</v>
      </c>
      <c r="AL28" s="41" t="str">
        <f t="shared" si="12"/>
        <v>WO</v>
      </c>
      <c r="AM28" s="41" t="s">
        <v>43</v>
      </c>
      <c r="AN28" s="41" t="s">
        <v>44</v>
      </c>
      <c r="AO28" s="42" t="s">
        <v>43</v>
      </c>
      <c r="AP28" s="31"/>
      <c r="AQ28" s="36"/>
      <c r="AR28" s="19">
        <v>20</v>
      </c>
      <c r="AS28" s="19">
        <v>1020</v>
      </c>
      <c r="AT28" s="19" t="str">
        <f t="shared" si="3"/>
        <v>December</v>
      </c>
      <c r="AU28" s="19" t="s">
        <v>22</v>
      </c>
      <c r="AV28" s="27">
        <f t="shared" si="4"/>
        <v>23</v>
      </c>
      <c r="AW28" s="22">
        <f t="shared" si="5"/>
        <v>2</v>
      </c>
      <c r="AX28" s="22">
        <f t="shared" si="6"/>
        <v>2</v>
      </c>
      <c r="AY28" s="22">
        <f t="shared" si="7"/>
        <v>4</v>
      </c>
      <c r="AZ28" s="22">
        <f t="shared" si="8"/>
        <v>31</v>
      </c>
      <c r="BA28" s="22">
        <f>Dec_Month[[#This Row],[Days]]-Dec_Month[[#This Row],[Absent]]</f>
        <v>29</v>
      </c>
      <c r="BB28" s="23">
        <v>30000</v>
      </c>
      <c r="BC28" s="23">
        <f>Dec_Month[[#This Row],[Salary]]/Dec_Month[[#This Row],[Days]]</f>
        <v>967.74193548387098</v>
      </c>
      <c r="BD28" s="24">
        <f>Dec_Month[[#This Row],[PerDay Salary]]*Dec_Month[[#This Row],[Absent]]</f>
        <v>1935.483870967742</v>
      </c>
      <c r="BE28" s="23">
        <f>Dec_Month[[#This Row],[Salary]]-Dec_Month[[#This Row],[Deduction]]</f>
        <v>28064.516129032258</v>
      </c>
      <c r="BF28" s="22"/>
      <c r="BG28" s="36"/>
    </row>
    <row r="29" spans="1:59" ht="15.75" thickTop="1" x14ac:dyDescent="0.25">
      <c r="A29"/>
      <c r="B29"/>
      <c r="C29"/>
      <c r="D29" s="29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</row>
    <row r="30" spans="1:59" x14ac:dyDescent="0.25">
      <c r="D30" s="29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6"/>
      <c r="BD30" s="36"/>
      <c r="BE30" s="36"/>
      <c r="BF30" s="36"/>
      <c r="BG30" s="36"/>
    </row>
    <row r="31" spans="1:59" x14ac:dyDescent="0.25">
      <c r="D31" s="29"/>
    </row>
    <row r="32" spans="1:59" x14ac:dyDescent="0.25">
      <c r="D32" s="29"/>
    </row>
    <row r="33" spans="4:4" x14ac:dyDescent="0.25">
      <c r="D33" s="29"/>
    </row>
    <row r="34" spans="4:4" x14ac:dyDescent="0.25">
      <c r="D34" s="29"/>
    </row>
    <row r="35" spans="4:4" x14ac:dyDescent="0.25">
      <c r="D35" s="29"/>
    </row>
    <row r="36" spans="4:4" x14ac:dyDescent="0.25">
      <c r="D36" s="29"/>
    </row>
    <row r="37" spans="4:4" x14ac:dyDescent="0.25">
      <c r="D37" s="29"/>
    </row>
    <row r="38" spans="4:4" x14ac:dyDescent="0.25">
      <c r="D38" s="29"/>
    </row>
    <row r="39" spans="4:4" x14ac:dyDescent="0.25">
      <c r="D39" s="29"/>
    </row>
    <row r="40" spans="4:4" x14ac:dyDescent="0.25">
      <c r="D40" s="29"/>
    </row>
    <row r="41" spans="4:4" x14ac:dyDescent="0.25">
      <c r="D41" s="29"/>
    </row>
    <row r="42" spans="4:4" x14ac:dyDescent="0.25">
      <c r="D42" s="29"/>
    </row>
    <row r="43" spans="4:4" x14ac:dyDescent="0.25">
      <c r="D43" s="29"/>
    </row>
    <row r="44" spans="4:4" x14ac:dyDescent="0.25">
      <c r="D44" s="29"/>
    </row>
    <row r="45" spans="4:4" x14ac:dyDescent="0.25">
      <c r="D45" s="29"/>
    </row>
    <row r="46" spans="4:4" x14ac:dyDescent="0.25">
      <c r="D46" s="29"/>
    </row>
    <row r="47" spans="4:4" x14ac:dyDescent="0.25">
      <c r="D47" s="29"/>
    </row>
    <row r="48" spans="4:4" x14ac:dyDescent="0.25">
      <c r="D48" s="29"/>
    </row>
  </sheetData>
  <mergeCells count="1">
    <mergeCell ref="G7:I7"/>
  </mergeCells>
  <conditionalFormatting sqref="K9:AO28">
    <cfRule type="containsText" dxfId="23" priority="1" operator="containsText" text="L">
      <formula>NOT(ISERROR(SEARCH("L",K9)))</formula>
    </cfRule>
    <cfRule type="containsText" dxfId="22" priority="2" operator="containsText" text="A">
      <formula>NOT(ISERROR(SEARCH("A",K9)))</formula>
    </cfRule>
    <cfRule type="containsText" dxfId="21" priority="3" operator="containsText" text="P">
      <formula>NOT(ISERROR(SEARCH("P",K9)))</formula>
    </cfRule>
    <cfRule type="containsText" dxfId="20" priority="4" operator="containsText" text="WO">
      <formula>NOT(ISERROR(SEARCH("WO",K9)))</formula>
    </cfRule>
    <cfRule type="containsText" dxfId="19" priority="5" operator="containsText" text="WO">
      <formula>NOT(ISERROR(SEARCH("WO",K9)))</formula>
    </cfRule>
  </conditionalFormatting>
  <dataValidations count="1">
    <dataValidation type="list" allowBlank="1" showInputMessage="1" showErrorMessage="1" sqref="AM9:AO28 K9:P28 AF9:AK28 Y9:AD28 R9:W28">
      <formula1>"P ,A ,L"</formula1>
    </dataValidation>
  </dataValidation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Rough!$A$1:$A$12</xm:f>
          </x14:formula1>
          <xm:sqref>H5</xm:sqref>
        </x14:dataValidation>
      </x14:dataValidations>
    </ex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Dec!AV9:AY9</xm:f>
              <xm:sqref>BF9</xm:sqref>
            </x14:sparkline>
            <x14:sparkline>
              <xm:f>Dec!AV10:AY10</xm:f>
              <xm:sqref>BF10</xm:sqref>
            </x14:sparkline>
            <x14:sparkline>
              <xm:f>Dec!AV11:AY11</xm:f>
              <xm:sqref>BF11</xm:sqref>
            </x14:sparkline>
            <x14:sparkline>
              <xm:f>Dec!AV12:AY12</xm:f>
              <xm:sqref>BF12</xm:sqref>
            </x14:sparkline>
            <x14:sparkline>
              <xm:f>Dec!AV13:AY13</xm:f>
              <xm:sqref>BF13</xm:sqref>
            </x14:sparkline>
            <x14:sparkline>
              <xm:f>Dec!AV14:AY14</xm:f>
              <xm:sqref>BF14</xm:sqref>
            </x14:sparkline>
            <x14:sparkline>
              <xm:f>Dec!AV15:AY15</xm:f>
              <xm:sqref>BF15</xm:sqref>
            </x14:sparkline>
            <x14:sparkline>
              <xm:f>Dec!AV16:AY16</xm:f>
              <xm:sqref>BF16</xm:sqref>
            </x14:sparkline>
            <x14:sparkline>
              <xm:f>Dec!AV17:AY17</xm:f>
              <xm:sqref>BF17</xm:sqref>
            </x14:sparkline>
            <x14:sparkline>
              <xm:f>Dec!AV18:AY18</xm:f>
              <xm:sqref>BF18</xm:sqref>
            </x14:sparkline>
            <x14:sparkline>
              <xm:f>Dec!AV19:AY19</xm:f>
              <xm:sqref>BF19</xm:sqref>
            </x14:sparkline>
            <x14:sparkline>
              <xm:f>Dec!AV20:AY20</xm:f>
              <xm:sqref>BF20</xm:sqref>
            </x14:sparkline>
            <x14:sparkline>
              <xm:f>Dec!AV21:AY21</xm:f>
              <xm:sqref>BF21</xm:sqref>
            </x14:sparkline>
            <x14:sparkline>
              <xm:f>Dec!AV22:AY22</xm:f>
              <xm:sqref>BF22</xm:sqref>
            </x14:sparkline>
            <x14:sparkline>
              <xm:f>Dec!AV23:AY23</xm:f>
              <xm:sqref>BF23</xm:sqref>
            </x14:sparkline>
            <x14:sparkline>
              <xm:f>Dec!AV24:AY24</xm:f>
              <xm:sqref>BF24</xm:sqref>
            </x14:sparkline>
            <x14:sparkline>
              <xm:f>Dec!AV25:AY25</xm:f>
              <xm:sqref>BF25</xm:sqref>
            </x14:sparkline>
            <x14:sparkline>
              <xm:f>Dec!AV26:AY26</xm:f>
              <xm:sqref>BF26</xm:sqref>
            </x14:sparkline>
            <x14:sparkline>
              <xm:f>Dec!AV27:AY27</xm:f>
              <xm:sqref>BF27</xm:sqref>
            </x14:sparkline>
            <x14:sparkline>
              <xm:f>Dec!AV28:AY28</xm:f>
              <xm:sqref>BF28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Rough</vt:lpstr>
      <vt:lpstr>Sheet1</vt:lpstr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2025-12-28T06:58:05Z</dcterms:created>
  <dcterms:modified xsi:type="dcterms:W3CDTF">2026-01-02T05:54:41Z</dcterms:modified>
</cp:coreProperties>
</file>